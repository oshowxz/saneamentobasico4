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Bairros" sheetId="2" state="visible" r:id="rId4"/>
    <sheet name="Indicadores" sheetId="3" state="visible" r:id="rId5"/>
    <sheet name="Análises" sheetId="4" state="visible" r:id="rId6"/>
    <sheet name="Fontes" sheetId="5" state="visible" r:id="rId7"/>
  </sheets>
  <definedNames>
    <definedName function="false" hidden="true" localSheetId="1" name="_xlnm._FilterDatabase" vbProcedure="false">Bairros!$A$1:$P$56</definedName>
    <definedName function="false" hidden="true" localSheetId="2" name="_xlnm._FilterDatabase" vbProcedure="false">Indicadores!$A$1:$G$29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<sst xmlns="http://schemas.openxmlformats.org/spreadsheetml/2006/main" count="697" uniqueCount="334">
  <si>
    <t xml:space="preserve">Saneamento Sinop — dados do site</t>
  </si>
  <si>
    <t xml:space="preserve">Pesquisa feita e conferida em 20/10/2026. Cada número tem fonte, data de referência e link nas abas Indicadores, Bairros e Fontes.</t>
  </si>
  <si>
    <t xml:space="preserve">Como usar</t>
  </si>
  <si>
    <t xml:space="preserve">1. O site lê os arquivos CSV da pasta dados/ (bairros.csv e indicadores_municipais.csv). Eles já estão atualizados e iguais a esta planilha — não é preciso exportar nada do Excel.</t>
  </si>
  <si>
    <t xml:space="preserve">2. Esta planilha serve para conferir, editar e mostrar as fontes na apresentação. Se editar aqui, copie as mudanças também para o CSV (ou rode scripts/gerar_dados.py depois de ajustá-lo).</t>
  </si>
  <si>
    <t xml:space="preserve">3. Cuidado ao exportar do Excel em português: ele grava decimais com vírgula (88,9) e os cartões grandes do site esperam ponto (88.9). Por isso o caminho mais seguro é editar o CSV no VS Code.</t>
  </si>
  <si>
    <t xml:space="preserve">Legenda</t>
  </si>
  <si>
    <t xml:space="preserve">Célula amarela</t>
  </si>
  <si>
    <t xml:space="preserve">Para preencher: percentuais por bairro (aba Bairros, colunas K a O).</t>
  </si>
  <si>
    <t xml:space="preserve">Texto azul</t>
  </si>
  <si>
    <t xml:space="preserve">Número digitado a partir de uma fonte (aba Indicadores).</t>
  </si>
  <si>
    <t xml:space="preserve">Texto preto</t>
  </si>
  <si>
    <t xml:space="preserve">Fórmula calculada a partir dos números das fontes (aba Análises).</t>
  </si>
  <si>
    <t xml:space="preserve">Exemplo de preenchimento dos percentuais por bairro (valores inventados, só para mostrar o formato — NÃO são dados reais)</t>
  </si>
  <si>
    <t xml:space="preserve">bairro</t>
  </si>
  <si>
    <t xml:space="preserve">agua_pct</t>
  </si>
  <si>
    <t xml:space="preserve">esgoto_pct</t>
  </si>
  <si>
    <t xml:space="preserve">lixo_pct</t>
  </si>
  <si>
    <t xml:space="preserve">pct_ano</t>
  </si>
  <si>
    <t xml:space="preserve">pct_fonte</t>
  </si>
  <si>
    <t xml:space="preserve">Jardim das Palmeiras</t>
  </si>
  <si>
    <t xml:space="preserve">IBGE, Censo 2022 — Agregados por bairro</t>
  </si>
  <si>
    <t xml:space="preserve">Onde achar os percentuais de água, esgoto e lixo por bairro</t>
  </si>
  <si>
    <t xml:space="preserve">O IBGE publica o Censo 2022 por bairro em ftp.ibge.gov.br/Censos/Censo_Demografico_2022/Agregados_por_Setores_Censitarios/Agregados_por_Bairro_xlsx/ (arquivos "características do domicílio" 1, 2 e 3; o dicionário de dados diz qual traz água, esgoto e lixo). Eu não consegui abrir esses arquivos aqui, por isso as colunas amarelas continuam vazias. O IBGE só lista como bairro o que foi oficializado por lei municipal: se Sinop não aparecer no arquivo, os dados saem dos setores censitários.</t>
  </si>
  <si>
    <t xml:space="preserve">Ressalvas importantes</t>
  </si>
  <si>
    <t xml:space="preserve">• Os números de esgoto medem coisas diferentes e não devem ser comparados como se fossem a mesma: Censo 2022 (17,3% em rede ou fossa ligada), SINISA 2024 (33,9% com serviço público) e concessionária (40% em 2025, informação da própria empresa).</t>
  </si>
  <si>
    <t xml:space="preserve">• A extensão da rede varia conforme a fonte e a data: 589 km (fev/2026, SóNews), 650 km (abr/2026, diretor-presidente) e "mais de 800 km" (set/2026, informe publicitário da empresa — NÃO usado). Dos 589 km, só cerca de 310 km estavam em operação.</t>
  </si>
  <si>
    <t xml:space="preserve">• "23 mil moradores" são os novos atendidos pelas obras de 2026 (reunião com a CDL, 05/05/2026); "110 mil moradores" é o total esperado com coleta ao fim de 2026 (50% da cidade). São números diferentes, não uma contradição.</t>
  </si>
  <si>
    <t xml:space="preserve">• Seis bairros novos (Jardim Itália III, Boa Esperança, Araguaia II, Novo Horizonte, Jardim São Paulo II, Nossa Senhora Aparecida) vêm de uma notícia de 2025 que previa conclusão das obras até dez/2025. A conclusão não foi confirmada: estão marcados como "rede implantada" com observação para confirmar.</t>
  </si>
  <si>
    <t xml:space="preserve">• Datas marcadas com "c." são aproximadas. Bairro sem cor no mapa significa "sem informação", e não "sem rede".</t>
  </si>
  <si>
    <t xml:space="preserve">nome_busca</t>
  </si>
  <si>
    <t xml:space="preserve">lat</t>
  </si>
  <si>
    <t xml:space="preserve">lon</t>
  </si>
  <si>
    <t xml:space="preserve">geo_fonte</t>
  </si>
  <si>
    <t xml:space="preserve">esgoto_rede</t>
  </si>
  <si>
    <t xml:space="preserve">obras_2026</t>
  </si>
  <si>
    <t xml:space="preserve">esgoto_fonte</t>
  </si>
  <si>
    <t xml:space="preserve">esgoto_ref</t>
  </si>
  <si>
    <t xml:space="preserve">esgoto_url</t>
  </si>
  <si>
    <t xml:space="preserve">observacao</t>
  </si>
  <si>
    <t xml:space="preserve">Jardim das Violetas</t>
  </si>
  <si>
    <t xml:space="preserve">operacao</t>
  </si>
  <si>
    <t xml:space="preserve">sim</t>
  </si>
  <si>
    <t xml:space="preserve">Prefeitura de Sinop — ETE Curupy (1ª etapa) + Aegea MT — conexão e tarifação liberadas + GC Notícias — obras de 2026 + CDL Sinop — pacote de obras de 2026</t>
  </si>
  <si>
    <t xml:space="preserve">data não informada + c. 2020 + 23/03/2026 + 05/05/2026</t>
  </si>
  <si>
    <t xml:space="preserve">https://www.sinop.mt.gov.br/portal/noticias/0/3/6923/inaugurada-primeira-estacao-de-tratamento-de-esgoto-de-sinop | https://www.aegeamt.com.br/aguas-de-sinop-orienta-populacao-para-uso-correto-da-rede-de-esgoto/ | https://www.gcnoticias.com.br/geral/aguas-de-sinop-retoma-obras-de-esgoto-com-foco-na-qualidade/243256336 | https://www.cdlsinop.com.br/comunicacao/noticias/aguas-de-sinop-apresenta-a-cdl-sinop-pacote-de-obras-deste-ano/11181</t>
  </si>
  <si>
    <t xml:space="preserve">parte do bairro em 2020 — novas obras em 2026</t>
  </si>
  <si>
    <t xml:space="preserve">Prefeitura de Sinop — ETE Curupy (1ª etapa) + Aegea MT — conexão e tarifação liberadas + GC Notícias — rede em 3 bairros + GC Notícias — obras de 2026 + CDL Sinop — pacote de obras de 2026</t>
  </si>
  <si>
    <t xml:space="preserve">data não informada + c. 2020 + c. 2022 + 23/03/2026 + 05/05/2026</t>
  </si>
  <si>
    <t xml:space="preserve">https://www.sinop.mt.gov.br/portal/noticias/0/3/6923/inaugurada-primeira-estacao-de-tratamento-de-esgoto-de-sinop | https://www.aegeamt.com.br/aguas-de-sinop-orienta-populacao-para-uso-correto-da-rede-de-esgoto/ | https://www.gcnoticias.com.br/geral/empresa-implanta-rede-de-esgoto-em-3-bairros/140459040 | https://www.gcnoticias.com.br/geral/aguas-de-sinop-retoma-obras-de-esgoto-com-foco-na-qualidade/243256336 | https://www.cdlsinop.com.br/comunicacao/noticias/aguas-de-sinop-apresenta-a-cdl-sinop-pacote-de-obras-deste-ano/11181</t>
  </si>
  <si>
    <t xml:space="preserve">Jardim Primaveras</t>
  </si>
  <si>
    <t xml:space="preserve">Jardim Primaveras|Jardim das Primaveras</t>
  </si>
  <si>
    <t xml:space="preserve">Prefeitura de Sinop — ETE Curupy (1ª etapa) + Aegea MT — conexão e tarifação liberadas</t>
  </si>
  <si>
    <t xml:space="preserve">data não informada + c. 2020</t>
  </si>
  <si>
    <t xml:space="preserve">https://www.sinop.mt.gov.br/portal/noticias/0/3/6923/inaugurada-primeira-estacao-de-tratamento-de-esgoto-de-sinop | https://www.aegeamt.com.br/aguas-de-sinop-orienta-populacao-para-uso-correto-da-rede-de-esgoto/</t>
  </si>
  <si>
    <t xml:space="preserve">Parque das Araras</t>
  </si>
  <si>
    <t xml:space="preserve">Jardim Califórnia</t>
  </si>
  <si>
    <t xml:space="preserve">Jardim Califórnia|Califórnia</t>
  </si>
  <si>
    <t xml:space="preserve">Prefeitura de Sinop — ETE Curupy (1ª etapa)</t>
  </si>
  <si>
    <t xml:space="preserve">data não informada</t>
  </si>
  <si>
    <t xml:space="preserve">https://www.sinop.mt.gov.br/portal/noticias/0/3/6923/inaugurada-primeira-estacao-de-tratamento-de-esgoto-de-sinop</t>
  </si>
  <si>
    <t xml:space="preserve">na fonte aparece como “Califórnia”</t>
  </si>
  <si>
    <t xml:space="preserve">Jardim das Azaléias</t>
  </si>
  <si>
    <t xml:space="preserve">Jardim das Azaléias|Jardim Azaléias</t>
  </si>
  <si>
    <t xml:space="preserve">na fonte aparece como “Azaléias”</t>
  </si>
  <si>
    <t xml:space="preserve">Maria Carolina</t>
  </si>
  <si>
    <t xml:space="preserve">Jardim Maria Carolina|Maria Carolina</t>
  </si>
  <si>
    <t xml:space="preserve">Maria Vindilina</t>
  </si>
  <si>
    <t xml:space="preserve">Jardim Maria Vindilina|Maria Vindilina</t>
  </si>
  <si>
    <t xml:space="preserve">Jardim das Orquídeas</t>
  </si>
  <si>
    <t xml:space="preserve">Jardim das Orquídeas|Orquídeas</t>
  </si>
  <si>
    <t xml:space="preserve">Jardim das Oliveiras</t>
  </si>
  <si>
    <t xml:space="preserve">Jardim das Oliveiras|Oliveiras</t>
  </si>
  <si>
    <t xml:space="preserve">Oliveiras I e II</t>
  </si>
  <si>
    <t xml:space="preserve">Jardim das Nações</t>
  </si>
  <si>
    <t xml:space="preserve">Jardim das Nações|Nações</t>
  </si>
  <si>
    <t xml:space="preserve">na fonte aparece como “Nações”</t>
  </si>
  <si>
    <t xml:space="preserve">Jardim das Rosas</t>
  </si>
  <si>
    <t xml:space="preserve">Residencial Veneza</t>
  </si>
  <si>
    <t xml:space="preserve">Setor Industrial Norte</t>
  </si>
  <si>
    <t xml:space="preserve">parte do bairro em 2020</t>
  </si>
  <si>
    <t xml:space="preserve">Setor Residencial Norte</t>
  </si>
  <si>
    <t xml:space="preserve">Prefeitura de Sinop — ETE Curupy (1ª etapa) + Aegea MT — conexão e tarifação liberadas + GC Notícias — rede em 3 bairros</t>
  </si>
  <si>
    <t xml:space="preserve">data não informada + c. 2020 + c. 2022</t>
  </si>
  <si>
    <t xml:space="preserve">https://www.sinop.mt.gov.br/portal/noticias/0/3/6923/inaugurada-primeira-estacao-de-tratamento-de-esgoto-de-sinop | https://www.aegeamt.com.br/aguas-de-sinop-orienta-populacao-para-uso-correto-da-rede-de-esgoto/ | https://www.gcnoticias.com.br/geral/empresa-implanta-rede-de-esgoto-em-3-bairros/140459040</t>
  </si>
  <si>
    <t xml:space="preserve">Centro</t>
  </si>
  <si>
    <t xml:space="preserve">Centro|Setor Comercial</t>
  </si>
  <si>
    <t xml:space="preserve">Prefeitura de Sinop — ETE Curupy (1ª etapa) + GC Notícias — obras de 2026 + CDL Sinop — pacote de obras de 2026</t>
  </si>
  <si>
    <t xml:space="preserve">data não informada + 23/03/2026 + 05/05/2026</t>
  </si>
  <si>
    <t xml:space="preserve">https://www.sinop.mt.gov.br/portal/noticias/0/3/6923/inaugurada-primeira-estacao-de-tratamento-de-esgoto-de-sinop | https://www.gcnoticias.com.br/geral/aguas-de-sinop-retoma-obras-de-esgoto-com-foco-na-qualidade/243256336 | https://www.cdlsinop.com.br/comunicacao/noticias/aguas-de-sinop-apresenta-a-cdl-sinop-pacote-de-obras-deste-ano/11181</t>
  </si>
  <si>
    <t xml:space="preserve">Setor Comercial</t>
  </si>
  <si>
    <t xml:space="preserve">Residencial Daury Riva</t>
  </si>
  <si>
    <t xml:space="preserve">Residencial Daury Riva|Daury Riva</t>
  </si>
  <si>
    <t xml:space="preserve">Jardim Europa</t>
  </si>
  <si>
    <t xml:space="preserve">SóNotícias — Bacia do Córrego Neuza + SóNotícias — integração em 8 bairros</t>
  </si>
  <si>
    <t xml:space="preserve">c. 2023 + 27/02/2024</t>
  </si>
  <si>
    <t xml:space="preserve">https://www.sonoticias.com.br/geral/sinop-obra-de-rede-de-esgoto-atendera-moradores-de-11-bairros-e-fica-pronta-em-4-meses/ | https://www.sonoticias.com.br/geral/sinop-concluida-integracao-do-sistema-de-esgotamento-sanitario-em-oito-bairros/</t>
  </si>
  <si>
    <t xml:space="preserve">Residencial Vitória Régia</t>
  </si>
  <si>
    <t xml:space="preserve">Residencial Vitória Régia|Vitória Régia</t>
  </si>
  <si>
    <t xml:space="preserve">Jardim Imperial</t>
  </si>
  <si>
    <t xml:space="preserve">SóNotícias — Bacia do Córrego Neuza + SóNotícias — integração em 8 bairros + GC Notícias — obras de 2026 + CDL Sinop — pacote de obras de 2026</t>
  </si>
  <si>
    <t xml:space="preserve">c. 2023 + 27/02/2024 + 23/03/2026 + 05/05/2026</t>
  </si>
  <si>
    <t xml:space="preserve">https://www.sonoticias.com.br/geral/sinop-obra-de-rede-de-esgoto-atendera-moradores-de-11-bairros-e-fica-pronta-em-4-meses/ | https://www.sonoticias.com.br/geral/sinop-concluida-integracao-do-sistema-de-esgotamento-sanitario-em-oito-bairros/ | https://www.gcnoticias.com.br/geral/aguas-de-sinop-retoma-obras-de-esgoto-com-foco-na-qualidade/243256336 | https://www.cdlsinop.com.br/comunicacao/noticias/aguas-de-sinop-apresenta-a-cdl-sinop-pacote-de-obras-deste-ano/11181</t>
  </si>
  <si>
    <t xml:space="preserve">Jardim Santa Rita</t>
  </si>
  <si>
    <t xml:space="preserve">Jardim Santa Rita|Santa Rita</t>
  </si>
  <si>
    <t xml:space="preserve">Residencial Novo Estado</t>
  </si>
  <si>
    <t xml:space="preserve">Residencial Novo Estado|Novo Estado</t>
  </si>
  <si>
    <t xml:space="preserve">Carandá Bosque</t>
  </si>
  <si>
    <t xml:space="preserve">Jardim dos Ipês</t>
  </si>
  <si>
    <t xml:space="preserve">Jardim dos Ipês|Jardim Ipês</t>
  </si>
  <si>
    <t xml:space="preserve">Figueiras Residencial</t>
  </si>
  <si>
    <t xml:space="preserve">Figueiras Residencial|Figueiras</t>
  </si>
  <si>
    <t xml:space="preserve">Residencial Santa Cecília</t>
  </si>
  <si>
    <t xml:space="preserve">Residencial Santa Cecília|Santa Cecília</t>
  </si>
  <si>
    <t xml:space="preserve">implantada</t>
  </si>
  <si>
    <t xml:space="preserve">SóNotícias — Bacia do Córrego Neuza</t>
  </si>
  <si>
    <t xml:space="preserve">c. 2023</t>
  </si>
  <si>
    <t xml:space="preserve">https://www.sonoticias.com.br/geral/sinop-obra-de-rede-de-esgoto-atendera-moradores-de-11-bairros-e-fica-pronta-em-4-meses/</t>
  </si>
  <si>
    <t xml:space="preserve">rede implantada — integração às casas não confirmada nas fontes</t>
  </si>
  <si>
    <t xml:space="preserve">Loteamento Santa Cecília</t>
  </si>
  <si>
    <t xml:space="preserve">Moinho dos Ventos</t>
  </si>
  <si>
    <t xml:space="preserve">Residencial Cidade Jardim</t>
  </si>
  <si>
    <t xml:space="preserve">Residencial Cidade Jardim|Cidade Jardim</t>
  </si>
  <si>
    <t xml:space="preserve">Aegea MT — conexão e tarifação liberadas</t>
  </si>
  <si>
    <t xml:space="preserve">c. 2020</t>
  </si>
  <si>
    <t xml:space="preserve">https://www.aegeamt.com.br/aguas-de-sinop-orienta-populacao-para-uso-correto-da-rede-de-esgoto/</t>
  </si>
  <si>
    <t xml:space="preserve">2020</t>
  </si>
  <si>
    <t xml:space="preserve">Jardim dos Cravos</t>
  </si>
  <si>
    <t xml:space="preserve">Residencial Caribe</t>
  </si>
  <si>
    <t xml:space="preserve">Residencial Caribe|Caribe</t>
  </si>
  <si>
    <t xml:space="preserve">Residencial Copacabana</t>
  </si>
  <si>
    <t xml:space="preserve">Residencial Copacabana|Copacabana</t>
  </si>
  <si>
    <t xml:space="preserve">Jardim Gramado</t>
  </si>
  <si>
    <t xml:space="preserve">GC Notícias — rede em 3 bairros</t>
  </si>
  <si>
    <t xml:space="preserve">c. 2022</t>
  </si>
  <si>
    <t xml:space="preserve">https://www.gcnoticias.com.br/geral/empresa-implanta-rede-de-esgoto-em-3-bairros/140459040</t>
  </si>
  <si>
    <t xml:space="preserve">obra em fase final na época (c. 2022) — confirmar situação atual</t>
  </si>
  <si>
    <t xml:space="preserve">Jardim Maringá</t>
  </si>
  <si>
    <t xml:space="preserve">Jardim Maringá|Maringá</t>
  </si>
  <si>
    <t xml:space="preserve">obras</t>
  </si>
  <si>
    <t xml:space="preserve">GC Notícias — obras de 2026</t>
  </si>
  <si>
    <t xml:space="preserve">23/03/2026</t>
  </si>
  <si>
    <t xml:space="preserve">https://www.gcnoticias.com.br/geral/aguas-de-sinop-retoma-obras-de-esgoto-com-foco-na-qualidade/243256336</t>
  </si>
  <si>
    <t xml:space="preserve">Setor Residencial Sul</t>
  </si>
  <si>
    <t xml:space="preserve">Setor Residencial Sul|Setor Sul</t>
  </si>
  <si>
    <t xml:space="preserve">na fonte aparece como “Setor Sul”</t>
  </si>
  <si>
    <t xml:space="preserve">Residencial Ipanema</t>
  </si>
  <si>
    <t xml:space="preserve">Residencial Ipanema|Ipanema</t>
  </si>
  <si>
    <t xml:space="preserve">GC Notícias — obras de 2026 + Aegea MT — cronograma semanal de obras + CDL Sinop — pacote de obras de 2026</t>
  </si>
  <si>
    <t xml:space="preserve">23/03/2026 + 31/08/2026 + 05/05/2026</t>
  </si>
  <si>
    <t xml:space="preserve">https://www.gcnoticias.com.br/geral/aguas-de-sinop-retoma-obras-de-esgoto-com-foco-na-qualidade/243256336 | https://www.aegeamt.com.br/cronograma-de-obras-da-rede-de-esgoto-aguas-de-sinop-%C2%B7-entre-os-dias-31-08-e-05-09/ | https://www.cdlsinop.com.br/comunicacao/noticias/aguas-de-sinop-apresenta-a-cdl-sinop-pacote-de-obras-deste-ano/11181</t>
  </si>
  <si>
    <t xml:space="preserve">Terra Rica</t>
  </si>
  <si>
    <t xml:space="preserve">Terra Rica|Residencial Terra Rica</t>
  </si>
  <si>
    <t xml:space="preserve">Belvedere Residencial III</t>
  </si>
  <si>
    <t xml:space="preserve">Belvedere Residencial III|Belvedere III</t>
  </si>
  <si>
    <t xml:space="preserve">GC Notícias — obras de 2026 + CDL Sinop — pacote de obras de 2026</t>
  </si>
  <si>
    <t xml:space="preserve">23/03/2026 + 05/05/2026</t>
  </si>
  <si>
    <t xml:space="preserve">https://www.gcnoticias.com.br/geral/aguas-de-sinop-retoma-obras-de-esgoto-com-foco-na-qualidade/243256336 | https://www.cdlsinop.com.br/comunicacao/noticias/aguas-de-sinop-apresenta-a-cdl-sinop-pacote-de-obras-deste-ano/11181</t>
  </si>
  <si>
    <t xml:space="preserve">Toscana II</t>
  </si>
  <si>
    <t xml:space="preserve">Residencial Toscana II|Toscana II</t>
  </si>
  <si>
    <t xml:space="preserve">Canarinho I</t>
  </si>
  <si>
    <t xml:space="preserve">Canarinho I|Residencial Canarinho</t>
  </si>
  <si>
    <t xml:space="preserve">Canarinho II</t>
  </si>
  <si>
    <t xml:space="preserve">Canarinho II|Residencial Canarinho II</t>
  </si>
  <si>
    <t xml:space="preserve">Rhodivi</t>
  </si>
  <si>
    <t xml:space="preserve">Residencial Rhodivi|Rhodivi</t>
  </si>
  <si>
    <t xml:space="preserve">Safira</t>
  </si>
  <si>
    <t xml:space="preserve">Residencial Safira|Safira</t>
  </si>
  <si>
    <t xml:space="preserve">Iguatemi</t>
  </si>
  <si>
    <t xml:space="preserve">Residencial Iguatemi|Iguatemi</t>
  </si>
  <si>
    <t xml:space="preserve">Residencial Jardim Araguaia</t>
  </si>
  <si>
    <t xml:space="preserve">Residencial Jardim Araguaia|Araguaia</t>
  </si>
  <si>
    <t xml:space="preserve">na fonte aparece como “Araguaia”</t>
  </si>
  <si>
    <t xml:space="preserve">Residencial Paris</t>
  </si>
  <si>
    <t xml:space="preserve">Residencial Paris|Paris</t>
  </si>
  <si>
    <t xml:space="preserve">Residencial Gente Feliz</t>
  </si>
  <si>
    <t xml:space="preserve">Residencial Gente Feliz|Gente Feliz I</t>
  </si>
  <si>
    <t xml:space="preserve">na fonte aparece como “Gente Feliz I”</t>
  </si>
  <si>
    <t xml:space="preserve">Residencial Portinari</t>
  </si>
  <si>
    <t xml:space="preserve">Residencial Portinari|Portinari</t>
  </si>
  <si>
    <t xml:space="preserve">Aegea MT — cronograma semanal de obras</t>
  </si>
  <si>
    <t xml:space="preserve">31/08/2026</t>
  </si>
  <si>
    <t xml:space="preserve">https://www.aegeamt.com.br/cronograma-de-obras-da-rede-de-esgoto-aguas-de-sinop-%C2%B7-entre-os-dias-31-08-e-05-09/</t>
  </si>
  <si>
    <t xml:space="preserve">Jardim Itália III</t>
  </si>
  <si>
    <t xml:space="preserve">Jardim Itália III|Jardim Itália 3</t>
  </si>
  <si>
    <t xml:space="preserve">Aegea MT — ampliação da rede (obras de 2025)</t>
  </si>
  <si>
    <t xml:space="preserve">c. 2025</t>
  </si>
  <si>
    <t xml:space="preserve">https://www.aegeamt.com.br/ampliacao-da-rede-de-esgoto-em-sinop-vai-beneficiar-44-mil-pessoas-ate-dezembro/</t>
  </si>
  <si>
    <t xml:space="preserve">obra iniciada em 2025 com conclusão prevista até dez/2025 — confirmar situação atual</t>
  </si>
  <si>
    <t xml:space="preserve">Boa Esperança</t>
  </si>
  <si>
    <t xml:space="preserve">Jardim Boa Esperança|Boa Esperança</t>
  </si>
  <si>
    <t xml:space="preserve">Araguaia II</t>
  </si>
  <si>
    <t xml:space="preserve">Araguaia II|Jardim Araguaia II</t>
  </si>
  <si>
    <t xml:space="preserve">Novo Horizonte</t>
  </si>
  <si>
    <t xml:space="preserve">Novo Horizonte|Residencial Novo Horizonte</t>
  </si>
  <si>
    <t xml:space="preserve">Jardim São Paulo II</t>
  </si>
  <si>
    <t xml:space="preserve">Jardim São Paulo II|Jardim São Paulo 2</t>
  </si>
  <si>
    <t xml:space="preserve">Nossa Senhora Aparecida</t>
  </si>
  <si>
    <t xml:space="preserve">Nossa Senhora Aparecida|Jardim Nossa Senhora Aparecida</t>
  </si>
  <si>
    <t xml:space="preserve">id</t>
  </si>
  <si>
    <t xml:space="preserve">descricao</t>
  </si>
  <si>
    <t xml:space="preserve">valor</t>
  </si>
  <si>
    <t xml:space="preserve">unidade</t>
  </si>
  <si>
    <t xml:space="preserve">referencia</t>
  </si>
  <si>
    <t xml:space="preserve">fonte</t>
  </si>
  <si>
    <t xml:space="preserve">url</t>
  </si>
  <si>
    <t xml:space="preserve">pop_2022</t>
  </si>
  <si>
    <t xml:space="preserve">População residente (Censo 2022)</t>
  </si>
  <si>
    <t xml:space="preserve">pessoas</t>
  </si>
  <si>
    <t xml:space="preserve">2022</t>
  </si>
  <si>
    <t xml:space="preserve">IBGE</t>
  </si>
  <si>
    <t xml:space="preserve">https://www.ibge.gov.br/cidades-e-estados/mt/sinop.html</t>
  </si>
  <si>
    <t xml:space="preserve">pop_2025</t>
  </si>
  <si>
    <t xml:space="preserve">População estimada 2025</t>
  </si>
  <si>
    <t xml:space="preserve">2025</t>
  </si>
  <si>
    <t xml:space="preserve">IBGE (divulgado pela Prefeitura de Sinop)</t>
  </si>
  <si>
    <t xml:space="preserve">https://www.sinop.mt.gov.br/portal/noticias/0/3/12506/populacao-de-sinop-ultrapassa-os-223-mil-habitantes-e-prefeito-atribui-ao-planejamento-do-municipio</t>
  </si>
  <si>
    <t xml:space="preserve">pop_2026</t>
  </si>
  <si>
    <t xml:space="preserve">População estimada 2026</t>
  </si>
  <si>
    <t xml:space="preserve">1º/jul/2026</t>
  </si>
  <si>
    <t xml:space="preserve">https://www.sinop.mt.gov.br/portal/noticias/0/3/13809/sinop-ultrapassa-231-mil-habitantes-e-registra-crescimento-de-74-em-uma-decada-aponta-ibge</t>
  </si>
  <si>
    <t xml:space="preserve">agua_rede_pct</t>
  </si>
  <si>
    <t xml:space="preserve">Moradores com água por rede geral</t>
  </si>
  <si>
    <t xml:space="preserve">%</t>
  </si>
  <si>
    <t xml:space="preserve">Censo 2022</t>
  </si>
  <si>
    <t xml:space="preserve">IBGE (via Água e Saneamento)</t>
  </si>
  <si>
    <t xml:space="preserve">https://www.aguaesaneamento.org.br/municipios-e-saneamento/mt/sinop</t>
  </si>
  <si>
    <t xml:space="preserve">agua_poco_pct</t>
  </si>
  <si>
    <t xml:space="preserve">Moradores com água de poço profundo ou artesiano</t>
  </si>
  <si>
    <t xml:space="preserve">esgoto_rede_pct</t>
  </si>
  <si>
    <t xml:space="preserve">Moradores com esgoto por rede geral, pluvial ou fossa ligada à rede</t>
  </si>
  <si>
    <t xml:space="preserve">fossa_sep_pct</t>
  </si>
  <si>
    <t xml:space="preserve">Moradores com fossa séptica ou fossa filtro não ligada à rede</t>
  </si>
  <si>
    <t xml:space="preserve">fossa_rud_pct</t>
  </si>
  <si>
    <t xml:space="preserve">Moradores com fossa rudimentar ou buraco</t>
  </si>
  <si>
    <t xml:space="preserve">Moradores com lixo coletado</t>
  </si>
  <si>
    <t xml:space="preserve">lixo_sinisa_pct</t>
  </si>
  <si>
    <t xml:space="preserve">População atendida com coleta de resíduos domiciliares</t>
  </si>
  <si>
    <t xml:space="preserve">SINISA 2024</t>
  </si>
  <si>
    <t xml:space="preserve">SINISA (via Água e Saneamento)</t>
  </si>
  <si>
    <t xml:space="preserve">sem_banheiro</t>
  </si>
  <si>
    <t xml:space="preserve">Moradores sem banheiro nem sanitário</t>
  </si>
  <si>
    <t xml:space="preserve">agua_sinisa_pct</t>
  </si>
  <si>
    <t xml:space="preserve">População com acesso a serviço público de água</t>
  </si>
  <si>
    <t xml:space="preserve">esgoto_sinisa_pct</t>
  </si>
  <si>
    <t xml:space="preserve">População com acesso a serviço público de esgoto</t>
  </si>
  <si>
    <t xml:space="preserve">esgoto_as_pct</t>
  </si>
  <si>
    <t xml:space="preserve">Cobertura de esgoto informada pela concessionária</t>
  </si>
  <si>
    <t xml:space="preserve">Águas de Sinop (via GC Notícias)</t>
  </si>
  <si>
    <t xml:space="preserve">meta_2026_pct</t>
  </si>
  <si>
    <t xml:space="preserve">Meta de cobertura de esgoto após as obras de 2026</t>
  </si>
  <si>
    <t xml:space="preserve">2026</t>
  </si>
  <si>
    <t xml:space="preserve">meta_2032_pct</t>
  </si>
  <si>
    <t xml:space="preserve">Meta de cobertura de esgoto</t>
  </si>
  <si>
    <t xml:space="preserve">2032</t>
  </si>
  <si>
    <t xml:space="preserve">rede_km</t>
  </si>
  <si>
    <t xml:space="preserve">Rede de esgoto instalada</t>
  </si>
  <si>
    <t xml:space="preserve">km</t>
  </si>
  <si>
    <t xml:space="preserve">início de 2026</t>
  </si>
  <si>
    <t xml:space="preserve">Águas de Sinop (via SóNews)</t>
  </si>
  <si>
    <t xml:space="preserve">https://sounews.com.br/sinop-avanca-no-saneamento-basico-e-se-torna-a-cidade-de-mt-que-mais-investiu-no-setor-em-2025/</t>
  </si>
  <si>
    <t xml:space="preserve">rede_oper_km</t>
  </si>
  <si>
    <t xml:space="preserve">Rede de esgoto já em operação (do total instalado)</t>
  </si>
  <si>
    <t xml:space="preserve">fev/2026</t>
  </si>
  <si>
    <t xml:space="preserve">rede_km_abr26</t>
  </si>
  <si>
    <t xml:space="preserve">Rede de esgoto implantada (informada pelo diretor-presidente)</t>
  </si>
  <si>
    <t xml:space="preserve">abr/2026</t>
  </si>
  <si>
    <t xml:space="preserve">https://www.gcnoticias.com.br/geral/aguas-de-sinop-pretende-instalar-64-km-de-rede-de-esgoto-em-2026/244790624</t>
  </si>
  <si>
    <t xml:space="preserve">bairros_total</t>
  </si>
  <si>
    <t xml:space="preserve">Bairros legalizados em Sinop</t>
  </si>
  <si>
    <t xml:space="preserve">bairros</t>
  </si>
  <si>
    <t xml:space="preserve">Prefeitura de Sinop (via SóNews)</t>
  </si>
  <si>
    <t xml:space="preserve">bairros_rede</t>
  </si>
  <si>
    <t xml:space="preserve">Bairros alcançados pela rede de esgoto</t>
  </si>
  <si>
    <t xml:space="preserve">dez/2025</t>
  </si>
  <si>
    <t xml:space="preserve">bairros_trat</t>
  </si>
  <si>
    <t xml:space="preserve">Bairros que já usam o sistema de tratamento</t>
  </si>
  <si>
    <t xml:space="preserve">ete_l_dia</t>
  </si>
  <si>
    <t xml:space="preserve">Capacidade das ETEs Curupy e Teles Pires</t>
  </si>
  <si>
    <t xml:space="preserve">litros/dia</t>
  </si>
  <si>
    <t xml:space="preserve">rede_2025_km</t>
  </si>
  <si>
    <t xml:space="preserve">Rede de esgoto construída em 2025</t>
  </si>
  <si>
    <t xml:space="preserve">moradores_2025</t>
  </si>
  <si>
    <t xml:space="preserve">Moradores beneficiados pelas obras de 2025</t>
  </si>
  <si>
    <t xml:space="preserve">moradores_2026</t>
  </si>
  <si>
    <t xml:space="preserve">Moradores a serem atendidos pelas obras de 2026</t>
  </si>
  <si>
    <t xml:space="preserve">Águas de Sinop (via CDL Sinop)</t>
  </si>
  <si>
    <t xml:space="preserve">https://www.cdlsinop.com.br/comunicacao/noticias/aguas-de-sinop-apresenta-a-cdl-sinop-pacote-de-obras-deste-ano/11181</t>
  </si>
  <si>
    <t xml:space="preserve">meta_2026_moradores</t>
  </si>
  <si>
    <t xml:space="preserve">Moradores com coleta de esgoto previstos ao fim de 2026 (50% da cidade)</t>
  </si>
  <si>
    <t xml:space="preserve">obras_2026_km</t>
  </si>
  <si>
    <t xml:space="preserve">Rede de esgoto planejada para 2026</t>
  </si>
  <si>
    <t xml:space="preserve">Indicador calculado</t>
  </si>
  <si>
    <t xml:space="preserve">Valor</t>
  </si>
  <si>
    <t xml:space="preserve">Unidade</t>
  </si>
  <si>
    <t xml:space="preserve">Como foi calculado</t>
  </si>
  <si>
    <t xml:space="preserve">Crescimento da população, Censo 2022 → estimativa 2026</t>
  </si>
  <si>
    <t xml:space="preserve">pop_2026 ÷ pop_2022 − 1</t>
  </si>
  <si>
    <t xml:space="preserve">Pessoas a mais entre as estimativas de 2025 e 2026</t>
  </si>
  <si>
    <t xml:space="preserve">pop_2026 − pop_2025 (a notícia da Prefeitura cita 7.672)</t>
  </si>
  <si>
    <t xml:space="preserve">Esgoto no Censo 2022: outras formas (vala, rio, etc.)</t>
  </si>
  <si>
    <t xml:space="preserve">100 − rede − fossa séptica − fossa rudimentar (confere com 0,1% do Censo)</t>
  </si>
  <si>
    <t xml:space="preserve">Falta para a meta de 2032 (cobertura de esgoto)</t>
  </si>
  <si>
    <t xml:space="preserve">pontos percentuais</t>
  </si>
  <si>
    <t xml:space="preserve">meta 2032 (98%) − cobertura informada pela concessionária em 2025 (40%)</t>
  </si>
  <si>
    <t xml:space="preserve">Falta para a meta de 2026</t>
  </si>
  <si>
    <t xml:space="preserve">meta 2026 (50%) − cobertura em 2025 (40%)</t>
  </si>
  <si>
    <t xml:space="preserve">Ritmo médio necessário até 2032</t>
  </si>
  <si>
    <t xml:space="preserve">pontos percentuais por ano</t>
  </si>
  <si>
    <t xml:space="preserve">falta para 2032 ÷ (ano da meta − ano-base). Anos nas células B13 e B14</t>
  </si>
  <si>
    <t xml:space="preserve">Moradores ainda sem rede de esgoto (estimativa)</t>
  </si>
  <si>
    <t xml:space="preserve">população 2025 × (100% − 40%). Estimativa: usa a cobertura informada pela própria empresa</t>
  </si>
  <si>
    <t xml:space="preserve">Parte da rede instalada que já está em operação</t>
  </si>
  <si>
    <t xml:space="preserve">km em operação ÷ km instalados (fev/2026)</t>
  </si>
  <si>
    <t xml:space="preserve">Bairros alcançados pela rede ÷ bairros legalizados (aprox.)</t>
  </si>
  <si>
    <t xml:space="preserve">135 (dez/2025) ÷ 323 (fev/2026); "alcançado" pode incluir bairros só em parte</t>
  </si>
  <si>
    <t xml:space="preserve">Premissas (células editáveis)</t>
  </si>
  <si>
    <t xml:space="preserve">Ano-base da cobertura informada</t>
  </si>
  <si>
    <t xml:space="preserve">ano</t>
  </si>
  <si>
    <t xml:space="preserve">A concessionária informou 40% de cobertura em 2025 (GC Notícias, 23/03/2026)</t>
  </si>
  <si>
    <t xml:space="preserve">Ano da meta de cobertura de 98%</t>
  </si>
  <si>
    <t xml:space="preserve">Termo Aditivo Modificado de 2024 (SóNews, 10/02/2026)</t>
  </si>
  <si>
    <t xml:space="preserve">Fonte</t>
  </si>
  <si>
    <t xml:space="preserve">Data de referência</t>
  </si>
  <si>
    <t xml:space="preserve">Usada em</t>
  </si>
  <si>
    <t xml:space="preserve">Link</t>
  </si>
  <si>
    <t xml:space="preserve">Bairros</t>
  </si>
  <si>
    <t xml:space="preserve">CDL Sinop — pacote de obras de 2026</t>
  </si>
  <si>
    <t xml:space="preserve">05/05/2026</t>
  </si>
  <si>
    <t xml:space="preserve">Bairros e Indicadores</t>
  </si>
  <si>
    <t xml:space="preserve">Indicadores</t>
  </si>
  <si>
    <t xml:space="preserve">SóNotícias — integração em 8 bairros</t>
  </si>
  <si>
    <t xml:space="preserve">27/02/2024</t>
  </si>
  <si>
    <t xml:space="preserve">https://www.sonoticias.com.br/geral/sinop-concluida-integracao-do-sistema-de-esgotamento-sanitario-em-oito-bairros/</t>
  </si>
</sst>
</file>

<file path=xl/styles.xml><?xml version="1.0" encoding="utf-8"?>
<styleSheet xmlns="http://schemas.openxmlformats.org/spreadsheetml/2006/main">
  <numFmts count="5">
    <numFmt numFmtId="164" formatCode="General"/>
    <numFmt numFmtId="165" formatCode="0.0%"/>
    <numFmt numFmtId="166" formatCode="#,##0"/>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64748B"/>
      <name val="Arial"/>
      <family val="0"/>
      <charset val="1"/>
    </font>
    <font>
      <b val="true"/>
      <sz val="12"/>
      <name val="Arial"/>
      <family val="0"/>
      <charset val="1"/>
    </font>
    <font>
      <sz val="10"/>
      <name val="Arial"/>
      <family val="0"/>
      <charset val="1"/>
    </font>
    <font>
      <sz val="10"/>
      <color rgb="FF0000FF"/>
      <name val="Arial"/>
      <family val="0"/>
      <charset val="1"/>
    </font>
    <font>
      <b val="true"/>
      <sz val="10"/>
      <color rgb="FFFFFFFF"/>
      <name val="Arial"/>
      <family val="0"/>
      <charset val="1"/>
    </font>
    <font>
      <i val="true"/>
      <sz val="10"/>
      <color rgb="FF64748B"/>
      <name val="Arial"/>
      <family val="0"/>
      <charset val="1"/>
    </font>
    <font>
      <b val="true"/>
      <sz val="1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0284C7"/>
        <bgColor rgb="FF008080"/>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right" vertical="bottom" textRotation="0" wrapText="false" indent="0" shrinkToFit="false"/>
      <protection locked="true" hidden="false"/>
    </xf>
    <xf numFmtId="168" fontId="8" fillId="2"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284C7"/>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284C7"/>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22"/>
    <col collapsed="false" customWidth="true" hidden="false" outlineLevel="0" max="6" min="6" style="0" width="44"/>
  </cols>
  <sheetData>
    <row r="1" customFormat="false" ht="19.7" hidden="false" customHeight="true" outlineLevel="0" collapsed="false">
      <c r="A1" s="1" t="s">
        <v>0</v>
      </c>
      <c r="B1" s="1"/>
      <c r="C1" s="1"/>
      <c r="D1" s="1"/>
      <c r="E1" s="1"/>
      <c r="F1" s="1"/>
    </row>
    <row r="2" customFormat="false" ht="30" hidden="false" customHeight="true" outlineLevel="0" collapsed="false">
      <c r="A2" s="2" t="s">
        <v>1</v>
      </c>
      <c r="B2" s="2"/>
      <c r="C2" s="2"/>
      <c r="D2" s="2"/>
      <c r="E2" s="2"/>
      <c r="F2" s="2"/>
    </row>
    <row r="4" customFormat="false" ht="15" hidden="false" customHeight="true" outlineLevel="0" collapsed="false">
      <c r="A4" s="3" t="s">
        <v>2</v>
      </c>
      <c r="B4" s="3"/>
      <c r="C4" s="3"/>
      <c r="D4" s="3"/>
      <c r="E4" s="3"/>
      <c r="F4" s="3"/>
    </row>
    <row r="5" customFormat="false" ht="30" hidden="false" customHeight="true" outlineLevel="0" collapsed="false">
      <c r="A5" s="4" t="s">
        <v>3</v>
      </c>
      <c r="B5" s="4"/>
      <c r="C5" s="4"/>
      <c r="D5" s="4"/>
      <c r="E5" s="4"/>
      <c r="F5" s="4"/>
    </row>
    <row r="6" customFormat="false" ht="30" hidden="false" customHeight="true" outlineLevel="0" collapsed="false">
      <c r="A6" s="4" t="s">
        <v>4</v>
      </c>
      <c r="B6" s="4"/>
      <c r="C6" s="4"/>
      <c r="D6" s="4"/>
      <c r="E6" s="4"/>
      <c r="F6" s="4"/>
    </row>
    <row r="7" customFormat="false" ht="43.5" hidden="false" customHeight="true" outlineLevel="0" collapsed="false">
      <c r="A7" s="4" t="s">
        <v>5</v>
      </c>
      <c r="B7" s="4"/>
      <c r="C7" s="4"/>
      <c r="D7" s="4"/>
      <c r="E7" s="4"/>
      <c r="F7" s="4"/>
    </row>
    <row r="9" customFormat="false" ht="15" hidden="false" customHeight="true" outlineLevel="0" collapsed="false">
      <c r="A9" s="3" t="s">
        <v>6</v>
      </c>
      <c r="B9" s="3"/>
      <c r="C9" s="3"/>
      <c r="D9" s="3"/>
      <c r="E9" s="3"/>
      <c r="F9" s="3"/>
    </row>
    <row r="10" customFormat="false" ht="15" hidden="false" customHeight="false" outlineLevel="0" collapsed="false">
      <c r="A10" s="5" t="s">
        <v>7</v>
      </c>
      <c r="B10" s="6" t="s">
        <v>8</v>
      </c>
      <c r="C10" s="6"/>
      <c r="D10" s="6"/>
      <c r="E10" s="6"/>
      <c r="F10" s="6"/>
    </row>
    <row r="11" customFormat="false" ht="15" hidden="false" customHeight="false" outlineLevel="0" collapsed="false">
      <c r="A11" s="7" t="s">
        <v>9</v>
      </c>
      <c r="B11" s="6" t="s">
        <v>10</v>
      </c>
      <c r="C11" s="6"/>
      <c r="D11" s="6"/>
      <c r="E11" s="6"/>
      <c r="F11" s="6"/>
    </row>
    <row r="12" customFormat="false" ht="15" hidden="false" customHeight="false" outlineLevel="0" collapsed="false">
      <c r="A12" s="8" t="s">
        <v>11</v>
      </c>
      <c r="B12" s="6" t="s">
        <v>12</v>
      </c>
      <c r="C12" s="6"/>
      <c r="D12" s="6"/>
      <c r="E12" s="6"/>
      <c r="F12" s="6"/>
    </row>
    <row r="14" customFormat="false" ht="30" hidden="false" customHeight="true" outlineLevel="0" collapsed="false">
      <c r="A14" s="3" t="s">
        <v>13</v>
      </c>
      <c r="B14" s="3"/>
      <c r="C14" s="3"/>
      <c r="D14" s="3"/>
      <c r="E14" s="3"/>
      <c r="F14" s="3"/>
    </row>
    <row r="15" customFormat="false" ht="15" hidden="false" customHeight="false" outlineLevel="0" collapsed="false">
      <c r="A15" s="9" t="s">
        <v>14</v>
      </c>
      <c r="B15" s="9" t="s">
        <v>15</v>
      </c>
      <c r="C15" s="9" t="s">
        <v>16</v>
      </c>
      <c r="D15" s="9" t="s">
        <v>17</v>
      </c>
      <c r="E15" s="9" t="s">
        <v>18</v>
      </c>
      <c r="F15" s="9" t="s">
        <v>19</v>
      </c>
    </row>
    <row r="16" customFormat="false" ht="15" hidden="false" customHeight="false" outlineLevel="0" collapsed="false">
      <c r="A16" s="10" t="s">
        <v>20</v>
      </c>
      <c r="B16" s="10" t="n">
        <v>92.5</v>
      </c>
      <c r="C16" s="10" t="n">
        <v>61</v>
      </c>
      <c r="D16" s="10" t="n">
        <v>98</v>
      </c>
      <c r="E16" s="10" t="n">
        <v>2022</v>
      </c>
      <c r="F16" s="10" t="s">
        <v>21</v>
      </c>
    </row>
    <row r="18" customFormat="false" ht="15" hidden="false" customHeight="true" outlineLevel="0" collapsed="false">
      <c r="A18" s="3" t="s">
        <v>22</v>
      </c>
      <c r="B18" s="3"/>
      <c r="C18" s="3"/>
      <c r="D18" s="3"/>
      <c r="E18" s="3"/>
      <c r="F18" s="3"/>
    </row>
    <row r="19" customFormat="false" ht="87.75" hidden="false" customHeight="true" outlineLevel="0" collapsed="false">
      <c r="A19" s="4" t="s">
        <v>23</v>
      </c>
      <c r="B19" s="4"/>
      <c r="C19" s="4"/>
      <c r="D19" s="4"/>
      <c r="E19" s="4"/>
      <c r="F19" s="4"/>
    </row>
    <row r="21" customFormat="false" ht="15" hidden="false" customHeight="true" outlineLevel="0" collapsed="false">
      <c r="A21" s="3" t="s">
        <v>24</v>
      </c>
      <c r="B21" s="3"/>
      <c r="C21" s="3"/>
      <c r="D21" s="3"/>
      <c r="E21" s="3"/>
      <c r="F21" s="3"/>
    </row>
    <row r="22" customFormat="false" ht="57.75" hidden="false" customHeight="true" outlineLevel="0" collapsed="false">
      <c r="A22" s="4" t="s">
        <v>25</v>
      </c>
      <c r="B22" s="4"/>
      <c r="C22" s="4"/>
      <c r="D22" s="4"/>
      <c r="E22" s="4"/>
      <c r="F22" s="4"/>
    </row>
    <row r="23" customFormat="false" ht="57.75" hidden="false" customHeight="true" outlineLevel="0" collapsed="false">
      <c r="A23" s="4" t="s">
        <v>26</v>
      </c>
      <c r="B23" s="4"/>
      <c r="C23" s="4"/>
      <c r="D23" s="4"/>
      <c r="E23" s="4"/>
      <c r="F23" s="4"/>
    </row>
    <row r="24" customFormat="false" ht="57.75" hidden="false" customHeight="true" outlineLevel="0" collapsed="false">
      <c r="A24" s="4" t="s">
        <v>27</v>
      </c>
      <c r="B24" s="4"/>
      <c r="C24" s="4"/>
      <c r="D24" s="4"/>
      <c r="E24" s="4"/>
      <c r="F24" s="4"/>
    </row>
    <row r="25" customFormat="false" ht="57.75" hidden="false" customHeight="true" outlineLevel="0" collapsed="false">
      <c r="A25" s="4" t="s">
        <v>28</v>
      </c>
      <c r="B25" s="4"/>
      <c r="C25" s="4"/>
      <c r="D25" s="4"/>
      <c r="E25" s="4"/>
      <c r="F25" s="4"/>
    </row>
    <row r="26" customFormat="false" ht="57.75" hidden="false" customHeight="true" outlineLevel="0" collapsed="false">
      <c r="A26" s="4" t="s">
        <v>29</v>
      </c>
      <c r="B26" s="4"/>
      <c r="C26" s="4"/>
      <c r="D26" s="4"/>
      <c r="E26" s="4"/>
      <c r="F26" s="4"/>
    </row>
  </sheetData>
  <mergeCells count="19">
    <mergeCell ref="A1:F1"/>
    <mergeCell ref="A2:F2"/>
    <mergeCell ref="A4:F4"/>
    <mergeCell ref="A5:F5"/>
    <mergeCell ref="A6:F6"/>
    <mergeCell ref="A7:F7"/>
    <mergeCell ref="A9:F9"/>
    <mergeCell ref="B10:F10"/>
    <mergeCell ref="B11:F11"/>
    <mergeCell ref="B12:F12"/>
    <mergeCell ref="A14:F14"/>
    <mergeCell ref="A18:F18"/>
    <mergeCell ref="A19:F19"/>
    <mergeCell ref="A21:F21"/>
    <mergeCell ref="A22:F22"/>
    <mergeCell ref="A23:F23"/>
    <mergeCell ref="A24:F24"/>
    <mergeCell ref="A25:F25"/>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4" min="3" style="0" width="10"/>
    <col collapsed="false" customWidth="true" hidden="false" outlineLevel="0" max="5" min="5" style="0" width="18"/>
    <col collapsed="false" customWidth="true" hidden="false" outlineLevel="0" max="6" min="6" style="0" width="14"/>
    <col collapsed="false" customWidth="true" hidden="false" outlineLevel="0" max="7" min="7" style="0" width="11"/>
    <col collapsed="false" customWidth="true" hidden="false" outlineLevel="0" max="8" min="8" style="0" width="52"/>
    <col collapsed="false" customWidth="true" hidden="false" outlineLevel="0" max="9" min="9" style="0" width="30"/>
    <col collapsed="false" customWidth="true" hidden="false" outlineLevel="0" max="10" min="10" style="0" width="40"/>
    <col collapsed="false" customWidth="true" hidden="false" outlineLevel="0" max="11" min="11" style="0" width="11"/>
    <col collapsed="false" customWidth="true" hidden="false" outlineLevel="0" max="12" min="12" style="0" width="12"/>
    <col collapsed="false" customWidth="true" hidden="false" outlineLevel="0" max="13" min="13" style="0" width="10"/>
    <col collapsed="false" customWidth="true" hidden="false" outlineLevel="0" max="14" min="14" style="0" width="9"/>
    <col collapsed="false" customWidth="true" hidden="false" outlineLevel="0" max="15" min="15" style="0" width="18"/>
    <col collapsed="false" customWidth="true" hidden="false" outlineLevel="0" max="16" min="16" style="0" width="48"/>
  </cols>
  <sheetData>
    <row r="1" customFormat="false" ht="27.75" hidden="false" customHeight="true" outlineLevel="0" collapsed="false">
      <c r="A1" s="11" t="s">
        <v>14</v>
      </c>
      <c r="B1" s="11" t="s">
        <v>30</v>
      </c>
      <c r="C1" s="11" t="s">
        <v>31</v>
      </c>
      <c r="D1" s="11" t="s">
        <v>32</v>
      </c>
      <c r="E1" s="11" t="s">
        <v>33</v>
      </c>
      <c r="F1" s="11" t="s">
        <v>34</v>
      </c>
      <c r="G1" s="11" t="s">
        <v>35</v>
      </c>
      <c r="H1" s="11" t="s">
        <v>36</v>
      </c>
      <c r="I1" s="11" t="s">
        <v>37</v>
      </c>
      <c r="J1" s="11" t="s">
        <v>38</v>
      </c>
      <c r="K1" s="11" t="s">
        <v>15</v>
      </c>
      <c r="L1" s="11" t="s">
        <v>16</v>
      </c>
      <c r="M1" s="11" t="s">
        <v>17</v>
      </c>
      <c r="N1" s="11" t="s">
        <v>18</v>
      </c>
      <c r="O1" s="11" t="s">
        <v>19</v>
      </c>
      <c r="P1" s="11" t="s">
        <v>39</v>
      </c>
    </row>
    <row r="2" customFormat="false" ht="15" hidden="false" customHeight="false" outlineLevel="0" collapsed="false">
      <c r="A2" s="12" t="s">
        <v>40</v>
      </c>
      <c r="B2" s="12" t="s">
        <v>40</v>
      </c>
      <c r="C2" s="12"/>
      <c r="D2" s="12"/>
      <c r="E2" s="12"/>
      <c r="F2" s="12" t="s">
        <v>41</v>
      </c>
      <c r="G2" s="12" t="s">
        <v>42</v>
      </c>
      <c r="H2" s="12" t="s">
        <v>43</v>
      </c>
      <c r="I2" s="12" t="s">
        <v>44</v>
      </c>
      <c r="J2" s="13" t="s">
        <v>45</v>
      </c>
      <c r="K2" s="14"/>
      <c r="L2" s="14"/>
      <c r="M2" s="14"/>
      <c r="N2" s="14"/>
      <c r="O2" s="14"/>
      <c r="P2" s="12" t="s">
        <v>46</v>
      </c>
    </row>
    <row r="3" customFormat="false" ht="15" hidden="false" customHeight="false" outlineLevel="0" collapsed="false">
      <c r="A3" s="12" t="s">
        <v>20</v>
      </c>
      <c r="B3" s="12" t="s">
        <v>20</v>
      </c>
      <c r="C3" s="12"/>
      <c r="D3" s="12"/>
      <c r="E3" s="12"/>
      <c r="F3" s="12" t="s">
        <v>41</v>
      </c>
      <c r="G3" s="12" t="s">
        <v>42</v>
      </c>
      <c r="H3" s="12" t="s">
        <v>47</v>
      </c>
      <c r="I3" s="12" t="s">
        <v>48</v>
      </c>
      <c r="J3" s="13" t="s">
        <v>49</v>
      </c>
      <c r="K3" s="14"/>
      <c r="L3" s="14"/>
      <c r="M3" s="14"/>
      <c r="N3" s="14"/>
      <c r="O3" s="14"/>
      <c r="P3" s="12" t="s">
        <v>46</v>
      </c>
    </row>
    <row r="4" customFormat="false" ht="15" hidden="false" customHeight="false" outlineLevel="0" collapsed="false">
      <c r="A4" s="12" t="s">
        <v>50</v>
      </c>
      <c r="B4" s="12" t="s">
        <v>51</v>
      </c>
      <c r="C4" s="12"/>
      <c r="D4" s="12"/>
      <c r="E4" s="12"/>
      <c r="F4" s="12" t="s">
        <v>41</v>
      </c>
      <c r="G4" s="12"/>
      <c r="H4" s="12" t="s">
        <v>52</v>
      </c>
      <c r="I4" s="12" t="s">
        <v>53</v>
      </c>
      <c r="J4" s="13" t="s">
        <v>54</v>
      </c>
      <c r="K4" s="14"/>
      <c r="L4" s="14"/>
      <c r="M4" s="14"/>
      <c r="N4" s="14"/>
      <c r="O4" s="14"/>
      <c r="P4" s="12"/>
    </row>
    <row r="5" customFormat="false" ht="15" hidden="false" customHeight="false" outlineLevel="0" collapsed="false">
      <c r="A5" s="12" t="s">
        <v>55</v>
      </c>
      <c r="B5" s="12" t="s">
        <v>55</v>
      </c>
      <c r="C5" s="12"/>
      <c r="D5" s="12"/>
      <c r="E5" s="12"/>
      <c r="F5" s="12" t="s">
        <v>41</v>
      </c>
      <c r="G5" s="12"/>
      <c r="H5" s="12" t="s">
        <v>52</v>
      </c>
      <c r="I5" s="12" t="s">
        <v>53</v>
      </c>
      <c r="J5" s="13" t="s">
        <v>54</v>
      </c>
      <c r="K5" s="14"/>
      <c r="L5" s="14"/>
      <c r="M5" s="14"/>
      <c r="N5" s="14"/>
      <c r="O5" s="14"/>
      <c r="P5" s="12"/>
    </row>
    <row r="6" customFormat="false" ht="15" hidden="false" customHeight="false" outlineLevel="0" collapsed="false">
      <c r="A6" s="12" t="s">
        <v>56</v>
      </c>
      <c r="B6" s="12" t="s">
        <v>57</v>
      </c>
      <c r="C6" s="12"/>
      <c r="D6" s="12"/>
      <c r="E6" s="12"/>
      <c r="F6" s="12" t="s">
        <v>41</v>
      </c>
      <c r="G6" s="12"/>
      <c r="H6" s="12" t="s">
        <v>58</v>
      </c>
      <c r="I6" s="12" t="s">
        <v>59</v>
      </c>
      <c r="J6" s="13" t="s">
        <v>60</v>
      </c>
      <c r="K6" s="14"/>
      <c r="L6" s="14"/>
      <c r="M6" s="14"/>
      <c r="N6" s="14"/>
      <c r="O6" s="14"/>
      <c r="P6" s="12" t="s">
        <v>61</v>
      </c>
    </row>
    <row r="7" customFormat="false" ht="15" hidden="false" customHeight="false" outlineLevel="0" collapsed="false">
      <c r="A7" s="12" t="s">
        <v>62</v>
      </c>
      <c r="B7" s="12" t="s">
        <v>63</v>
      </c>
      <c r="C7" s="12"/>
      <c r="D7" s="12"/>
      <c r="E7" s="12"/>
      <c r="F7" s="12" t="s">
        <v>41</v>
      </c>
      <c r="G7" s="12"/>
      <c r="H7" s="12" t="s">
        <v>58</v>
      </c>
      <c r="I7" s="12" t="s">
        <v>59</v>
      </c>
      <c r="J7" s="13" t="s">
        <v>60</v>
      </c>
      <c r="K7" s="14"/>
      <c r="L7" s="14"/>
      <c r="M7" s="14"/>
      <c r="N7" s="14"/>
      <c r="O7" s="14"/>
      <c r="P7" s="12" t="s">
        <v>64</v>
      </c>
    </row>
    <row r="8" customFormat="false" ht="15" hidden="false" customHeight="false" outlineLevel="0" collapsed="false">
      <c r="A8" s="12" t="s">
        <v>65</v>
      </c>
      <c r="B8" s="12" t="s">
        <v>66</v>
      </c>
      <c r="C8" s="12"/>
      <c r="D8" s="12"/>
      <c r="E8" s="12"/>
      <c r="F8" s="12" t="s">
        <v>41</v>
      </c>
      <c r="G8" s="12"/>
      <c r="H8" s="12" t="s">
        <v>52</v>
      </c>
      <c r="I8" s="12" t="s">
        <v>53</v>
      </c>
      <c r="J8" s="13" t="s">
        <v>54</v>
      </c>
      <c r="K8" s="14"/>
      <c r="L8" s="14"/>
      <c r="M8" s="14"/>
      <c r="N8" s="14"/>
      <c r="O8" s="14"/>
      <c r="P8" s="12"/>
    </row>
    <row r="9" customFormat="false" ht="15" hidden="false" customHeight="false" outlineLevel="0" collapsed="false">
      <c r="A9" s="12" t="s">
        <v>67</v>
      </c>
      <c r="B9" s="12" t="s">
        <v>68</v>
      </c>
      <c r="C9" s="12"/>
      <c r="D9" s="12"/>
      <c r="E9" s="12"/>
      <c r="F9" s="12" t="s">
        <v>41</v>
      </c>
      <c r="G9" s="12"/>
      <c r="H9" s="12" t="s">
        <v>58</v>
      </c>
      <c r="I9" s="12" t="s">
        <v>59</v>
      </c>
      <c r="J9" s="13" t="s">
        <v>60</v>
      </c>
      <c r="K9" s="14"/>
      <c r="L9" s="14"/>
      <c r="M9" s="14"/>
      <c r="N9" s="14"/>
      <c r="O9" s="14"/>
      <c r="P9" s="12"/>
    </row>
    <row r="10" customFormat="false" ht="15" hidden="false" customHeight="false" outlineLevel="0" collapsed="false">
      <c r="A10" s="12" t="s">
        <v>69</v>
      </c>
      <c r="B10" s="12" t="s">
        <v>70</v>
      </c>
      <c r="C10" s="12"/>
      <c r="D10" s="12"/>
      <c r="E10" s="12"/>
      <c r="F10" s="12" t="s">
        <v>41</v>
      </c>
      <c r="G10" s="12"/>
      <c r="H10" s="12" t="s">
        <v>52</v>
      </c>
      <c r="I10" s="12" t="s">
        <v>53</v>
      </c>
      <c r="J10" s="13" t="s">
        <v>54</v>
      </c>
      <c r="K10" s="14"/>
      <c r="L10" s="14"/>
      <c r="M10" s="14"/>
      <c r="N10" s="14"/>
      <c r="O10" s="14"/>
      <c r="P10" s="12"/>
    </row>
    <row r="11" customFormat="false" ht="15" hidden="false" customHeight="false" outlineLevel="0" collapsed="false">
      <c r="A11" s="12" t="s">
        <v>71</v>
      </c>
      <c r="B11" s="12" t="s">
        <v>72</v>
      </c>
      <c r="C11" s="12"/>
      <c r="D11" s="12"/>
      <c r="E11" s="12"/>
      <c r="F11" s="12" t="s">
        <v>41</v>
      </c>
      <c r="G11" s="12"/>
      <c r="H11" s="12" t="s">
        <v>52</v>
      </c>
      <c r="I11" s="12" t="s">
        <v>53</v>
      </c>
      <c r="J11" s="13" t="s">
        <v>54</v>
      </c>
      <c r="K11" s="14"/>
      <c r="L11" s="14"/>
      <c r="M11" s="14"/>
      <c r="N11" s="14"/>
      <c r="O11" s="14"/>
      <c r="P11" s="12" t="s">
        <v>73</v>
      </c>
    </row>
    <row r="12" customFormat="false" ht="15" hidden="false" customHeight="false" outlineLevel="0" collapsed="false">
      <c r="A12" s="12" t="s">
        <v>74</v>
      </c>
      <c r="B12" s="12" t="s">
        <v>75</v>
      </c>
      <c r="C12" s="12"/>
      <c r="D12" s="12"/>
      <c r="E12" s="12"/>
      <c r="F12" s="12" t="s">
        <v>41</v>
      </c>
      <c r="G12" s="12"/>
      <c r="H12" s="12" t="s">
        <v>58</v>
      </c>
      <c r="I12" s="12" t="s">
        <v>59</v>
      </c>
      <c r="J12" s="13" t="s">
        <v>60</v>
      </c>
      <c r="K12" s="14"/>
      <c r="L12" s="14"/>
      <c r="M12" s="14"/>
      <c r="N12" s="14"/>
      <c r="O12" s="14"/>
      <c r="P12" s="12" t="s">
        <v>76</v>
      </c>
    </row>
    <row r="13" customFormat="false" ht="15" hidden="false" customHeight="false" outlineLevel="0" collapsed="false">
      <c r="A13" s="12" t="s">
        <v>77</v>
      </c>
      <c r="B13" s="12" t="s">
        <v>77</v>
      </c>
      <c r="C13" s="12"/>
      <c r="D13" s="12"/>
      <c r="E13" s="12"/>
      <c r="F13" s="12" t="s">
        <v>41</v>
      </c>
      <c r="G13" s="12"/>
      <c r="H13" s="12" t="s">
        <v>58</v>
      </c>
      <c r="I13" s="12" t="s">
        <v>59</v>
      </c>
      <c r="J13" s="13" t="s">
        <v>60</v>
      </c>
      <c r="K13" s="14"/>
      <c r="L13" s="14"/>
      <c r="M13" s="14"/>
      <c r="N13" s="14"/>
      <c r="O13" s="14"/>
      <c r="P13" s="12"/>
    </row>
    <row r="14" customFormat="false" ht="15" hidden="false" customHeight="false" outlineLevel="0" collapsed="false">
      <c r="A14" s="12" t="s">
        <v>78</v>
      </c>
      <c r="B14" s="12" t="s">
        <v>78</v>
      </c>
      <c r="C14" s="12"/>
      <c r="D14" s="12"/>
      <c r="E14" s="12"/>
      <c r="F14" s="12" t="s">
        <v>41</v>
      </c>
      <c r="G14" s="12"/>
      <c r="H14" s="12" t="s">
        <v>58</v>
      </c>
      <c r="I14" s="12" t="s">
        <v>59</v>
      </c>
      <c r="J14" s="13" t="s">
        <v>60</v>
      </c>
      <c r="K14" s="14"/>
      <c r="L14" s="14"/>
      <c r="M14" s="14"/>
      <c r="N14" s="14"/>
      <c r="O14" s="14"/>
      <c r="P14" s="12"/>
    </row>
    <row r="15" customFormat="false" ht="15" hidden="false" customHeight="false" outlineLevel="0" collapsed="false">
      <c r="A15" s="12" t="s">
        <v>79</v>
      </c>
      <c r="B15" s="12" t="s">
        <v>79</v>
      </c>
      <c r="C15" s="12"/>
      <c r="D15" s="12"/>
      <c r="E15" s="12"/>
      <c r="F15" s="12" t="s">
        <v>41</v>
      </c>
      <c r="G15" s="12"/>
      <c r="H15" s="12" t="s">
        <v>52</v>
      </c>
      <c r="I15" s="12" t="s">
        <v>53</v>
      </c>
      <c r="J15" s="13" t="s">
        <v>54</v>
      </c>
      <c r="K15" s="14"/>
      <c r="L15" s="14"/>
      <c r="M15" s="14"/>
      <c r="N15" s="14"/>
      <c r="O15" s="14"/>
      <c r="P15" s="12" t="s">
        <v>80</v>
      </c>
    </row>
    <row r="16" customFormat="false" ht="15" hidden="false" customHeight="false" outlineLevel="0" collapsed="false">
      <c r="A16" s="12" t="s">
        <v>81</v>
      </c>
      <c r="B16" s="12" t="s">
        <v>81</v>
      </c>
      <c r="C16" s="12"/>
      <c r="D16" s="12"/>
      <c r="E16" s="12"/>
      <c r="F16" s="12" t="s">
        <v>41</v>
      </c>
      <c r="G16" s="12"/>
      <c r="H16" s="12" t="s">
        <v>82</v>
      </c>
      <c r="I16" s="12" t="s">
        <v>83</v>
      </c>
      <c r="J16" s="13" t="s">
        <v>84</v>
      </c>
      <c r="K16" s="14"/>
      <c r="L16" s="14"/>
      <c r="M16" s="14"/>
      <c r="N16" s="14"/>
      <c r="O16" s="14"/>
      <c r="P16" s="12" t="s">
        <v>80</v>
      </c>
    </row>
    <row r="17" customFormat="false" ht="15" hidden="false" customHeight="false" outlineLevel="0" collapsed="false">
      <c r="A17" s="12" t="s">
        <v>85</v>
      </c>
      <c r="B17" s="12" t="s">
        <v>86</v>
      </c>
      <c r="C17" s="12"/>
      <c r="D17" s="12"/>
      <c r="E17" s="12"/>
      <c r="F17" s="12" t="s">
        <v>41</v>
      </c>
      <c r="G17" s="12" t="s">
        <v>42</v>
      </c>
      <c r="H17" s="12" t="s">
        <v>87</v>
      </c>
      <c r="I17" s="12" t="s">
        <v>88</v>
      </c>
      <c r="J17" s="13" t="s">
        <v>89</v>
      </c>
      <c r="K17" s="14"/>
      <c r="L17" s="14"/>
      <c r="M17" s="14"/>
      <c r="N17" s="14"/>
      <c r="O17" s="14"/>
      <c r="P17" s="12"/>
    </row>
    <row r="18" customFormat="false" ht="15" hidden="false" customHeight="false" outlineLevel="0" collapsed="false">
      <c r="A18" s="12" t="s">
        <v>90</v>
      </c>
      <c r="B18" s="12" t="s">
        <v>90</v>
      </c>
      <c r="C18" s="12"/>
      <c r="D18" s="12"/>
      <c r="E18" s="12"/>
      <c r="F18" s="12" t="s">
        <v>41</v>
      </c>
      <c r="G18" s="12"/>
      <c r="H18" s="12" t="s">
        <v>58</v>
      </c>
      <c r="I18" s="12" t="s">
        <v>59</v>
      </c>
      <c r="J18" s="13" t="s">
        <v>60</v>
      </c>
      <c r="K18" s="14"/>
      <c r="L18" s="14"/>
      <c r="M18" s="14"/>
      <c r="N18" s="14"/>
      <c r="O18" s="14"/>
      <c r="P18" s="12"/>
    </row>
    <row r="19" customFormat="false" ht="15" hidden="false" customHeight="false" outlineLevel="0" collapsed="false">
      <c r="A19" s="12" t="s">
        <v>91</v>
      </c>
      <c r="B19" s="12" t="s">
        <v>92</v>
      </c>
      <c r="C19" s="12"/>
      <c r="D19" s="12"/>
      <c r="E19" s="12"/>
      <c r="F19" s="12" t="s">
        <v>41</v>
      </c>
      <c r="G19" s="12"/>
      <c r="H19" s="12" t="s">
        <v>52</v>
      </c>
      <c r="I19" s="12" t="s">
        <v>53</v>
      </c>
      <c r="J19" s="13" t="s">
        <v>54</v>
      </c>
      <c r="K19" s="14"/>
      <c r="L19" s="14"/>
      <c r="M19" s="14"/>
      <c r="N19" s="14"/>
      <c r="O19" s="14"/>
      <c r="P19" s="12"/>
    </row>
    <row r="20" customFormat="false" ht="15" hidden="false" customHeight="false" outlineLevel="0" collapsed="false">
      <c r="A20" s="12" t="s">
        <v>93</v>
      </c>
      <c r="B20" s="12" t="s">
        <v>93</v>
      </c>
      <c r="C20" s="12"/>
      <c r="D20" s="12"/>
      <c r="E20" s="12"/>
      <c r="F20" s="12" t="s">
        <v>41</v>
      </c>
      <c r="G20" s="12"/>
      <c r="H20" s="12" t="s">
        <v>94</v>
      </c>
      <c r="I20" s="12" t="s">
        <v>95</v>
      </c>
      <c r="J20" s="13" t="s">
        <v>96</v>
      </c>
      <c r="K20" s="14"/>
      <c r="L20" s="14"/>
      <c r="M20" s="14"/>
      <c r="N20" s="14"/>
      <c r="O20" s="14"/>
      <c r="P20" s="12"/>
    </row>
    <row r="21" customFormat="false" ht="15" hidden="false" customHeight="false" outlineLevel="0" collapsed="false">
      <c r="A21" s="12" t="s">
        <v>97</v>
      </c>
      <c r="B21" s="12" t="s">
        <v>98</v>
      </c>
      <c r="C21" s="12"/>
      <c r="D21" s="12"/>
      <c r="E21" s="12"/>
      <c r="F21" s="12" t="s">
        <v>41</v>
      </c>
      <c r="G21" s="12"/>
      <c r="H21" s="12" t="s">
        <v>94</v>
      </c>
      <c r="I21" s="12" t="s">
        <v>95</v>
      </c>
      <c r="J21" s="13" t="s">
        <v>96</v>
      </c>
      <c r="K21" s="14"/>
      <c r="L21" s="14"/>
      <c r="M21" s="14"/>
      <c r="N21" s="14"/>
      <c r="O21" s="14"/>
      <c r="P21" s="12"/>
    </row>
    <row r="22" customFormat="false" ht="15" hidden="false" customHeight="false" outlineLevel="0" collapsed="false">
      <c r="A22" s="12" t="s">
        <v>99</v>
      </c>
      <c r="B22" s="12" t="s">
        <v>99</v>
      </c>
      <c r="C22" s="12"/>
      <c r="D22" s="12"/>
      <c r="E22" s="12"/>
      <c r="F22" s="12" t="s">
        <v>41</v>
      </c>
      <c r="G22" s="12" t="s">
        <v>42</v>
      </c>
      <c r="H22" s="12" t="s">
        <v>100</v>
      </c>
      <c r="I22" s="12" t="s">
        <v>101</v>
      </c>
      <c r="J22" s="13" t="s">
        <v>102</v>
      </c>
      <c r="K22" s="14"/>
      <c r="L22" s="14"/>
      <c r="M22" s="14"/>
      <c r="N22" s="14"/>
      <c r="O22" s="14"/>
      <c r="P22" s="12"/>
    </row>
    <row r="23" customFormat="false" ht="15" hidden="false" customHeight="false" outlineLevel="0" collapsed="false">
      <c r="A23" s="12" t="s">
        <v>103</v>
      </c>
      <c r="B23" s="12" t="s">
        <v>104</v>
      </c>
      <c r="C23" s="12"/>
      <c r="D23" s="12"/>
      <c r="E23" s="12"/>
      <c r="F23" s="12" t="s">
        <v>41</v>
      </c>
      <c r="G23" s="12"/>
      <c r="H23" s="12" t="s">
        <v>94</v>
      </c>
      <c r="I23" s="12" t="s">
        <v>95</v>
      </c>
      <c r="J23" s="13" t="s">
        <v>96</v>
      </c>
      <c r="K23" s="14"/>
      <c r="L23" s="14"/>
      <c r="M23" s="14"/>
      <c r="N23" s="14"/>
      <c r="O23" s="14"/>
      <c r="P23" s="12"/>
    </row>
    <row r="24" customFormat="false" ht="15" hidden="false" customHeight="false" outlineLevel="0" collapsed="false">
      <c r="A24" s="12" t="s">
        <v>105</v>
      </c>
      <c r="B24" s="12" t="s">
        <v>106</v>
      </c>
      <c r="C24" s="12"/>
      <c r="D24" s="12"/>
      <c r="E24" s="12"/>
      <c r="F24" s="12" t="s">
        <v>41</v>
      </c>
      <c r="G24" s="12"/>
      <c r="H24" s="12" t="s">
        <v>94</v>
      </c>
      <c r="I24" s="12" t="s">
        <v>95</v>
      </c>
      <c r="J24" s="13" t="s">
        <v>96</v>
      </c>
      <c r="K24" s="14"/>
      <c r="L24" s="14"/>
      <c r="M24" s="14"/>
      <c r="N24" s="14"/>
      <c r="O24" s="14"/>
      <c r="P24" s="12"/>
    </row>
    <row r="25" customFormat="false" ht="15" hidden="false" customHeight="false" outlineLevel="0" collapsed="false">
      <c r="A25" s="12" t="s">
        <v>107</v>
      </c>
      <c r="B25" s="12" t="s">
        <v>107</v>
      </c>
      <c r="C25" s="12"/>
      <c r="D25" s="12"/>
      <c r="E25" s="12"/>
      <c r="F25" s="12" t="s">
        <v>41</v>
      </c>
      <c r="G25" s="12"/>
      <c r="H25" s="12" t="s">
        <v>94</v>
      </c>
      <c r="I25" s="12" t="s">
        <v>95</v>
      </c>
      <c r="J25" s="13" t="s">
        <v>96</v>
      </c>
      <c r="K25" s="14"/>
      <c r="L25" s="14"/>
      <c r="M25" s="14"/>
      <c r="N25" s="14"/>
      <c r="O25" s="14"/>
      <c r="P25" s="12"/>
    </row>
    <row r="26" customFormat="false" ht="15" hidden="false" customHeight="false" outlineLevel="0" collapsed="false">
      <c r="A26" s="12" t="s">
        <v>108</v>
      </c>
      <c r="B26" s="12" t="s">
        <v>109</v>
      </c>
      <c r="C26" s="12"/>
      <c r="D26" s="12"/>
      <c r="E26" s="12"/>
      <c r="F26" s="12" t="s">
        <v>41</v>
      </c>
      <c r="G26" s="12"/>
      <c r="H26" s="12" t="s">
        <v>94</v>
      </c>
      <c r="I26" s="12" t="s">
        <v>95</v>
      </c>
      <c r="J26" s="13" t="s">
        <v>96</v>
      </c>
      <c r="K26" s="14"/>
      <c r="L26" s="14"/>
      <c r="M26" s="14"/>
      <c r="N26" s="14"/>
      <c r="O26" s="14"/>
      <c r="P26" s="12"/>
    </row>
    <row r="27" customFormat="false" ht="15" hidden="false" customHeight="false" outlineLevel="0" collapsed="false">
      <c r="A27" s="12" t="s">
        <v>110</v>
      </c>
      <c r="B27" s="12" t="s">
        <v>111</v>
      </c>
      <c r="C27" s="12"/>
      <c r="D27" s="12"/>
      <c r="E27" s="12"/>
      <c r="F27" s="12" t="s">
        <v>41</v>
      </c>
      <c r="G27" s="12"/>
      <c r="H27" s="12" t="s">
        <v>94</v>
      </c>
      <c r="I27" s="12" t="s">
        <v>95</v>
      </c>
      <c r="J27" s="13" t="s">
        <v>96</v>
      </c>
      <c r="K27" s="14"/>
      <c r="L27" s="14"/>
      <c r="M27" s="14"/>
      <c r="N27" s="14"/>
      <c r="O27" s="14"/>
      <c r="P27" s="12"/>
    </row>
    <row r="28" customFormat="false" ht="15" hidden="false" customHeight="false" outlineLevel="0" collapsed="false">
      <c r="A28" s="12" t="s">
        <v>112</v>
      </c>
      <c r="B28" s="12" t="s">
        <v>113</v>
      </c>
      <c r="C28" s="12"/>
      <c r="D28" s="12"/>
      <c r="E28" s="12"/>
      <c r="F28" s="12" t="s">
        <v>114</v>
      </c>
      <c r="G28" s="12"/>
      <c r="H28" s="12" t="s">
        <v>115</v>
      </c>
      <c r="I28" s="12" t="s">
        <v>116</v>
      </c>
      <c r="J28" s="13" t="s">
        <v>117</v>
      </c>
      <c r="K28" s="14"/>
      <c r="L28" s="14"/>
      <c r="M28" s="14"/>
      <c r="N28" s="14"/>
      <c r="O28" s="14"/>
      <c r="P28" s="12" t="s">
        <v>118</v>
      </c>
    </row>
    <row r="29" customFormat="false" ht="15" hidden="false" customHeight="false" outlineLevel="0" collapsed="false">
      <c r="A29" s="12" t="s">
        <v>119</v>
      </c>
      <c r="B29" s="12" t="s">
        <v>119</v>
      </c>
      <c r="C29" s="12"/>
      <c r="D29" s="12"/>
      <c r="E29" s="12"/>
      <c r="F29" s="12" t="s">
        <v>114</v>
      </c>
      <c r="G29" s="12"/>
      <c r="H29" s="12" t="s">
        <v>115</v>
      </c>
      <c r="I29" s="12" t="s">
        <v>116</v>
      </c>
      <c r="J29" s="13" t="s">
        <v>117</v>
      </c>
      <c r="K29" s="14"/>
      <c r="L29" s="14"/>
      <c r="M29" s="14"/>
      <c r="N29" s="14"/>
      <c r="O29" s="14"/>
      <c r="P29" s="12" t="s">
        <v>118</v>
      </c>
    </row>
    <row r="30" customFormat="false" ht="15" hidden="false" customHeight="false" outlineLevel="0" collapsed="false">
      <c r="A30" s="12" t="s">
        <v>120</v>
      </c>
      <c r="B30" s="12" t="s">
        <v>120</v>
      </c>
      <c r="C30" s="12"/>
      <c r="D30" s="12"/>
      <c r="E30" s="12"/>
      <c r="F30" s="12" t="s">
        <v>114</v>
      </c>
      <c r="G30" s="12"/>
      <c r="H30" s="12" t="s">
        <v>115</v>
      </c>
      <c r="I30" s="12" t="s">
        <v>116</v>
      </c>
      <c r="J30" s="13" t="s">
        <v>117</v>
      </c>
      <c r="K30" s="14"/>
      <c r="L30" s="14"/>
      <c r="M30" s="14"/>
      <c r="N30" s="14"/>
      <c r="O30" s="14"/>
      <c r="P30" s="12" t="s">
        <v>118</v>
      </c>
    </row>
    <row r="31" customFormat="false" ht="15" hidden="false" customHeight="false" outlineLevel="0" collapsed="false">
      <c r="A31" s="12" t="s">
        <v>121</v>
      </c>
      <c r="B31" s="12" t="s">
        <v>122</v>
      </c>
      <c r="C31" s="12"/>
      <c r="D31" s="12"/>
      <c r="E31" s="12"/>
      <c r="F31" s="12" t="s">
        <v>41</v>
      </c>
      <c r="G31" s="12"/>
      <c r="H31" s="12" t="s">
        <v>123</v>
      </c>
      <c r="I31" s="12" t="s">
        <v>124</v>
      </c>
      <c r="J31" s="13" t="s">
        <v>125</v>
      </c>
      <c r="K31" s="14"/>
      <c r="L31" s="14"/>
      <c r="M31" s="14"/>
      <c r="N31" s="14"/>
      <c r="O31" s="14"/>
      <c r="P31" s="12" t="s">
        <v>126</v>
      </c>
    </row>
    <row r="32" customFormat="false" ht="15" hidden="false" customHeight="false" outlineLevel="0" collapsed="false">
      <c r="A32" s="12" t="s">
        <v>127</v>
      </c>
      <c r="B32" s="12" t="s">
        <v>127</v>
      </c>
      <c r="C32" s="12"/>
      <c r="D32" s="12"/>
      <c r="E32" s="12"/>
      <c r="F32" s="12" t="s">
        <v>41</v>
      </c>
      <c r="G32" s="12"/>
      <c r="H32" s="12" t="s">
        <v>123</v>
      </c>
      <c r="I32" s="12" t="s">
        <v>124</v>
      </c>
      <c r="J32" s="13" t="s">
        <v>125</v>
      </c>
      <c r="K32" s="14"/>
      <c r="L32" s="14"/>
      <c r="M32" s="14"/>
      <c r="N32" s="14"/>
      <c r="O32" s="14"/>
      <c r="P32" s="12" t="s">
        <v>80</v>
      </c>
    </row>
    <row r="33" customFormat="false" ht="15" hidden="false" customHeight="false" outlineLevel="0" collapsed="false">
      <c r="A33" s="12" t="s">
        <v>128</v>
      </c>
      <c r="B33" s="12" t="s">
        <v>129</v>
      </c>
      <c r="C33" s="12"/>
      <c r="D33" s="12"/>
      <c r="E33" s="12"/>
      <c r="F33" s="12" t="s">
        <v>41</v>
      </c>
      <c r="G33" s="12"/>
      <c r="H33" s="12" t="s">
        <v>123</v>
      </c>
      <c r="I33" s="12" t="s">
        <v>124</v>
      </c>
      <c r="J33" s="13" t="s">
        <v>125</v>
      </c>
      <c r="K33" s="14"/>
      <c r="L33" s="14"/>
      <c r="M33" s="14"/>
      <c r="N33" s="14"/>
      <c r="O33" s="14"/>
      <c r="P33" s="12" t="s">
        <v>126</v>
      </c>
    </row>
    <row r="34" customFormat="false" ht="15" hidden="false" customHeight="false" outlineLevel="0" collapsed="false">
      <c r="A34" s="12" t="s">
        <v>130</v>
      </c>
      <c r="B34" s="12" t="s">
        <v>131</v>
      </c>
      <c r="C34" s="12"/>
      <c r="D34" s="12"/>
      <c r="E34" s="12"/>
      <c r="F34" s="12" t="s">
        <v>41</v>
      </c>
      <c r="G34" s="12"/>
      <c r="H34" s="12" t="s">
        <v>123</v>
      </c>
      <c r="I34" s="12" t="s">
        <v>124</v>
      </c>
      <c r="J34" s="13" t="s">
        <v>125</v>
      </c>
      <c r="K34" s="14"/>
      <c r="L34" s="14"/>
      <c r="M34" s="14"/>
      <c r="N34" s="14"/>
      <c r="O34" s="14"/>
      <c r="P34" s="12" t="s">
        <v>126</v>
      </c>
    </row>
    <row r="35" customFormat="false" ht="15" hidden="false" customHeight="false" outlineLevel="0" collapsed="false">
      <c r="A35" s="12" t="s">
        <v>132</v>
      </c>
      <c r="B35" s="12" t="s">
        <v>132</v>
      </c>
      <c r="C35" s="12"/>
      <c r="D35" s="12"/>
      <c r="E35" s="12"/>
      <c r="F35" s="12" t="s">
        <v>114</v>
      </c>
      <c r="G35" s="12"/>
      <c r="H35" s="12" t="s">
        <v>133</v>
      </c>
      <c r="I35" s="12" t="s">
        <v>134</v>
      </c>
      <c r="J35" s="13" t="s">
        <v>135</v>
      </c>
      <c r="K35" s="14"/>
      <c r="L35" s="14"/>
      <c r="M35" s="14"/>
      <c r="N35" s="14"/>
      <c r="O35" s="14"/>
      <c r="P35" s="12" t="s">
        <v>136</v>
      </c>
    </row>
    <row r="36" customFormat="false" ht="15" hidden="false" customHeight="false" outlineLevel="0" collapsed="false">
      <c r="A36" s="12" t="s">
        <v>137</v>
      </c>
      <c r="B36" s="12" t="s">
        <v>138</v>
      </c>
      <c r="C36" s="12"/>
      <c r="D36" s="12"/>
      <c r="E36" s="12"/>
      <c r="F36" s="12" t="s">
        <v>139</v>
      </c>
      <c r="G36" s="12" t="s">
        <v>42</v>
      </c>
      <c r="H36" s="12" t="s">
        <v>140</v>
      </c>
      <c r="I36" s="12" t="s">
        <v>141</v>
      </c>
      <c r="J36" s="13" t="s">
        <v>142</v>
      </c>
      <c r="K36" s="14"/>
      <c r="L36" s="14"/>
      <c r="M36" s="14"/>
      <c r="N36" s="14"/>
      <c r="O36" s="14"/>
      <c r="P36" s="12"/>
    </row>
    <row r="37" customFormat="false" ht="15" hidden="false" customHeight="false" outlineLevel="0" collapsed="false">
      <c r="A37" s="12" t="s">
        <v>143</v>
      </c>
      <c r="B37" s="12" t="s">
        <v>144</v>
      </c>
      <c r="C37" s="12"/>
      <c r="D37" s="12"/>
      <c r="E37" s="12"/>
      <c r="F37" s="12" t="s">
        <v>139</v>
      </c>
      <c r="G37" s="12" t="s">
        <v>42</v>
      </c>
      <c r="H37" s="12" t="s">
        <v>140</v>
      </c>
      <c r="I37" s="12" t="s">
        <v>141</v>
      </c>
      <c r="J37" s="13" t="s">
        <v>142</v>
      </c>
      <c r="K37" s="14"/>
      <c r="L37" s="14"/>
      <c r="M37" s="14"/>
      <c r="N37" s="14"/>
      <c r="O37" s="14"/>
      <c r="P37" s="12" t="s">
        <v>145</v>
      </c>
    </row>
    <row r="38" customFormat="false" ht="15" hidden="false" customHeight="false" outlineLevel="0" collapsed="false">
      <c r="A38" s="12" t="s">
        <v>146</v>
      </c>
      <c r="B38" s="12" t="s">
        <v>147</v>
      </c>
      <c r="C38" s="12"/>
      <c r="D38" s="12"/>
      <c r="E38" s="12"/>
      <c r="F38" s="12" t="s">
        <v>139</v>
      </c>
      <c r="G38" s="12" t="s">
        <v>42</v>
      </c>
      <c r="H38" s="12" t="s">
        <v>148</v>
      </c>
      <c r="I38" s="12" t="s">
        <v>149</v>
      </c>
      <c r="J38" s="13" t="s">
        <v>150</v>
      </c>
      <c r="K38" s="14"/>
      <c r="L38" s="14"/>
      <c r="M38" s="14"/>
      <c r="N38" s="14"/>
      <c r="O38" s="14"/>
      <c r="P38" s="12"/>
    </row>
    <row r="39" customFormat="false" ht="15" hidden="false" customHeight="false" outlineLevel="0" collapsed="false">
      <c r="A39" s="12" t="s">
        <v>151</v>
      </c>
      <c r="B39" s="12" t="s">
        <v>152</v>
      </c>
      <c r="C39" s="12"/>
      <c r="D39" s="12"/>
      <c r="E39" s="12"/>
      <c r="F39" s="12" t="s">
        <v>139</v>
      </c>
      <c r="G39" s="12" t="s">
        <v>42</v>
      </c>
      <c r="H39" s="12" t="s">
        <v>148</v>
      </c>
      <c r="I39" s="12" t="s">
        <v>149</v>
      </c>
      <c r="J39" s="13" t="s">
        <v>150</v>
      </c>
      <c r="K39" s="14"/>
      <c r="L39" s="14"/>
      <c r="M39" s="14"/>
      <c r="N39" s="14"/>
      <c r="O39" s="14"/>
      <c r="P39" s="12"/>
    </row>
    <row r="40" customFormat="false" ht="15" hidden="false" customHeight="false" outlineLevel="0" collapsed="false">
      <c r="A40" s="12" t="s">
        <v>153</v>
      </c>
      <c r="B40" s="12" t="s">
        <v>154</v>
      </c>
      <c r="C40" s="12"/>
      <c r="D40" s="12"/>
      <c r="E40" s="12"/>
      <c r="F40" s="12" t="s">
        <v>139</v>
      </c>
      <c r="G40" s="12" t="s">
        <v>42</v>
      </c>
      <c r="H40" s="12" t="s">
        <v>155</v>
      </c>
      <c r="I40" s="12" t="s">
        <v>156</v>
      </c>
      <c r="J40" s="13" t="s">
        <v>157</v>
      </c>
      <c r="K40" s="14"/>
      <c r="L40" s="14"/>
      <c r="M40" s="14"/>
      <c r="N40" s="14"/>
      <c r="O40" s="14"/>
      <c r="P40" s="12"/>
    </row>
    <row r="41" customFormat="false" ht="15" hidden="false" customHeight="false" outlineLevel="0" collapsed="false">
      <c r="A41" s="12" t="s">
        <v>158</v>
      </c>
      <c r="B41" s="12" t="s">
        <v>159</v>
      </c>
      <c r="C41" s="12"/>
      <c r="D41" s="12"/>
      <c r="E41" s="12"/>
      <c r="F41" s="12" t="s">
        <v>139</v>
      </c>
      <c r="G41" s="12" t="s">
        <v>42</v>
      </c>
      <c r="H41" s="12" t="s">
        <v>155</v>
      </c>
      <c r="I41" s="12" t="s">
        <v>156</v>
      </c>
      <c r="J41" s="13" t="s">
        <v>157</v>
      </c>
      <c r="K41" s="14"/>
      <c r="L41" s="14"/>
      <c r="M41" s="14"/>
      <c r="N41" s="14"/>
      <c r="O41" s="14"/>
      <c r="P41" s="12"/>
    </row>
    <row r="42" customFormat="false" ht="15" hidden="false" customHeight="false" outlineLevel="0" collapsed="false">
      <c r="A42" s="12" t="s">
        <v>160</v>
      </c>
      <c r="B42" s="12" t="s">
        <v>161</v>
      </c>
      <c r="C42" s="12"/>
      <c r="D42" s="12"/>
      <c r="E42" s="12"/>
      <c r="F42" s="12" t="s">
        <v>139</v>
      </c>
      <c r="G42" s="12" t="s">
        <v>42</v>
      </c>
      <c r="H42" s="12" t="s">
        <v>155</v>
      </c>
      <c r="I42" s="12" t="s">
        <v>156</v>
      </c>
      <c r="J42" s="13" t="s">
        <v>157</v>
      </c>
      <c r="K42" s="14"/>
      <c r="L42" s="14"/>
      <c r="M42" s="14"/>
      <c r="N42" s="14"/>
      <c r="O42" s="14"/>
      <c r="P42" s="12"/>
    </row>
    <row r="43" customFormat="false" ht="15" hidden="false" customHeight="false" outlineLevel="0" collapsed="false">
      <c r="A43" s="12" t="s">
        <v>162</v>
      </c>
      <c r="B43" s="12" t="s">
        <v>163</v>
      </c>
      <c r="C43" s="12"/>
      <c r="D43" s="12"/>
      <c r="E43" s="12"/>
      <c r="F43" s="12" t="s">
        <v>139</v>
      </c>
      <c r="G43" s="12" t="s">
        <v>42</v>
      </c>
      <c r="H43" s="12" t="s">
        <v>155</v>
      </c>
      <c r="I43" s="12" t="s">
        <v>156</v>
      </c>
      <c r="J43" s="13" t="s">
        <v>157</v>
      </c>
      <c r="K43" s="14"/>
      <c r="L43" s="14"/>
      <c r="M43" s="14"/>
      <c r="N43" s="14"/>
      <c r="O43" s="14"/>
      <c r="P43" s="12"/>
    </row>
    <row r="44" customFormat="false" ht="15" hidden="false" customHeight="false" outlineLevel="0" collapsed="false">
      <c r="A44" s="12" t="s">
        <v>164</v>
      </c>
      <c r="B44" s="12" t="s">
        <v>165</v>
      </c>
      <c r="C44" s="12"/>
      <c r="D44" s="12"/>
      <c r="E44" s="12"/>
      <c r="F44" s="12" t="s">
        <v>139</v>
      </c>
      <c r="G44" s="12" t="s">
        <v>42</v>
      </c>
      <c r="H44" s="12" t="s">
        <v>155</v>
      </c>
      <c r="I44" s="12" t="s">
        <v>156</v>
      </c>
      <c r="J44" s="13" t="s">
        <v>157</v>
      </c>
      <c r="K44" s="14"/>
      <c r="L44" s="14"/>
      <c r="M44" s="14"/>
      <c r="N44" s="14"/>
      <c r="O44" s="14"/>
      <c r="P44" s="12"/>
    </row>
    <row r="45" customFormat="false" ht="15" hidden="false" customHeight="false" outlineLevel="0" collapsed="false">
      <c r="A45" s="12" t="s">
        <v>166</v>
      </c>
      <c r="B45" s="12" t="s">
        <v>167</v>
      </c>
      <c r="C45" s="12"/>
      <c r="D45" s="12"/>
      <c r="E45" s="12"/>
      <c r="F45" s="12" t="s">
        <v>139</v>
      </c>
      <c r="G45" s="12" t="s">
        <v>42</v>
      </c>
      <c r="H45" s="12" t="s">
        <v>155</v>
      </c>
      <c r="I45" s="12" t="s">
        <v>156</v>
      </c>
      <c r="J45" s="13" t="s">
        <v>157</v>
      </c>
      <c r="K45" s="14"/>
      <c r="L45" s="14"/>
      <c r="M45" s="14"/>
      <c r="N45" s="14"/>
      <c r="O45" s="14"/>
      <c r="P45" s="12"/>
    </row>
    <row r="46" customFormat="false" ht="15" hidden="false" customHeight="false" outlineLevel="0" collapsed="false">
      <c r="A46" s="12" t="s">
        <v>168</v>
      </c>
      <c r="B46" s="12" t="s">
        <v>169</v>
      </c>
      <c r="C46" s="12"/>
      <c r="D46" s="12"/>
      <c r="E46" s="12"/>
      <c r="F46" s="12" t="s">
        <v>139</v>
      </c>
      <c r="G46" s="12" t="s">
        <v>42</v>
      </c>
      <c r="H46" s="12" t="s">
        <v>155</v>
      </c>
      <c r="I46" s="12" t="s">
        <v>156</v>
      </c>
      <c r="J46" s="13" t="s">
        <v>157</v>
      </c>
      <c r="K46" s="14"/>
      <c r="L46" s="14"/>
      <c r="M46" s="14"/>
      <c r="N46" s="14"/>
      <c r="O46" s="14"/>
      <c r="P46" s="12"/>
    </row>
    <row r="47" customFormat="false" ht="15" hidden="false" customHeight="false" outlineLevel="0" collapsed="false">
      <c r="A47" s="12" t="s">
        <v>170</v>
      </c>
      <c r="B47" s="12" t="s">
        <v>171</v>
      </c>
      <c r="C47" s="12"/>
      <c r="D47" s="12"/>
      <c r="E47" s="12"/>
      <c r="F47" s="12" t="s">
        <v>139</v>
      </c>
      <c r="G47" s="12" t="s">
        <v>42</v>
      </c>
      <c r="H47" s="12" t="s">
        <v>155</v>
      </c>
      <c r="I47" s="12" t="s">
        <v>156</v>
      </c>
      <c r="J47" s="13" t="s">
        <v>157</v>
      </c>
      <c r="K47" s="14"/>
      <c r="L47" s="14"/>
      <c r="M47" s="14"/>
      <c r="N47" s="14"/>
      <c r="O47" s="14"/>
      <c r="P47" s="12" t="s">
        <v>172</v>
      </c>
    </row>
    <row r="48" customFormat="false" ht="15" hidden="false" customHeight="false" outlineLevel="0" collapsed="false">
      <c r="A48" s="12" t="s">
        <v>173</v>
      </c>
      <c r="B48" s="12" t="s">
        <v>174</v>
      </c>
      <c r="C48" s="12"/>
      <c r="D48" s="12"/>
      <c r="E48" s="12"/>
      <c r="F48" s="12" t="s">
        <v>139</v>
      </c>
      <c r="G48" s="12" t="s">
        <v>42</v>
      </c>
      <c r="H48" s="12" t="s">
        <v>148</v>
      </c>
      <c r="I48" s="12" t="s">
        <v>149</v>
      </c>
      <c r="J48" s="13" t="s">
        <v>150</v>
      </c>
      <c r="K48" s="14"/>
      <c r="L48" s="14"/>
      <c r="M48" s="14"/>
      <c r="N48" s="14"/>
      <c r="O48" s="14"/>
      <c r="P48" s="12"/>
    </row>
    <row r="49" customFormat="false" ht="15" hidden="false" customHeight="false" outlineLevel="0" collapsed="false">
      <c r="A49" s="12" t="s">
        <v>175</v>
      </c>
      <c r="B49" s="12" t="s">
        <v>176</v>
      </c>
      <c r="C49" s="12"/>
      <c r="D49" s="12"/>
      <c r="E49" s="12"/>
      <c r="F49" s="12" t="s">
        <v>139</v>
      </c>
      <c r="G49" s="12" t="s">
        <v>42</v>
      </c>
      <c r="H49" s="12" t="s">
        <v>148</v>
      </c>
      <c r="I49" s="12" t="s">
        <v>149</v>
      </c>
      <c r="J49" s="13" t="s">
        <v>150</v>
      </c>
      <c r="K49" s="14"/>
      <c r="L49" s="14"/>
      <c r="M49" s="14"/>
      <c r="N49" s="14"/>
      <c r="O49" s="14"/>
      <c r="P49" s="12" t="s">
        <v>177</v>
      </c>
    </row>
    <row r="50" customFormat="false" ht="15" hidden="false" customHeight="false" outlineLevel="0" collapsed="false">
      <c r="A50" s="12" t="s">
        <v>178</v>
      </c>
      <c r="B50" s="12" t="s">
        <v>179</v>
      </c>
      <c r="C50" s="12"/>
      <c r="D50" s="12"/>
      <c r="E50" s="12"/>
      <c r="F50" s="12" t="s">
        <v>139</v>
      </c>
      <c r="G50" s="12" t="s">
        <v>42</v>
      </c>
      <c r="H50" s="12" t="s">
        <v>180</v>
      </c>
      <c r="I50" s="12" t="s">
        <v>181</v>
      </c>
      <c r="J50" s="13" t="s">
        <v>182</v>
      </c>
      <c r="K50" s="14"/>
      <c r="L50" s="14"/>
      <c r="M50" s="14"/>
      <c r="N50" s="14"/>
      <c r="O50" s="14"/>
      <c r="P50" s="12"/>
    </row>
    <row r="51" customFormat="false" ht="15" hidden="false" customHeight="false" outlineLevel="0" collapsed="false">
      <c r="A51" s="12" t="s">
        <v>183</v>
      </c>
      <c r="B51" s="12" t="s">
        <v>184</v>
      </c>
      <c r="C51" s="12"/>
      <c r="D51" s="12"/>
      <c r="E51" s="12"/>
      <c r="F51" s="12" t="s">
        <v>114</v>
      </c>
      <c r="G51" s="12"/>
      <c r="H51" s="12" t="s">
        <v>185</v>
      </c>
      <c r="I51" s="12" t="s">
        <v>186</v>
      </c>
      <c r="J51" s="13" t="s">
        <v>187</v>
      </c>
      <c r="K51" s="14"/>
      <c r="L51" s="14"/>
      <c r="M51" s="14"/>
      <c r="N51" s="14"/>
      <c r="O51" s="14"/>
      <c r="P51" s="12" t="s">
        <v>188</v>
      </c>
    </row>
    <row r="52" customFormat="false" ht="15" hidden="false" customHeight="false" outlineLevel="0" collapsed="false">
      <c r="A52" s="12" t="s">
        <v>189</v>
      </c>
      <c r="B52" s="12" t="s">
        <v>190</v>
      </c>
      <c r="C52" s="12"/>
      <c r="D52" s="12"/>
      <c r="E52" s="12"/>
      <c r="F52" s="12" t="s">
        <v>114</v>
      </c>
      <c r="G52" s="12"/>
      <c r="H52" s="12" t="s">
        <v>185</v>
      </c>
      <c r="I52" s="12" t="s">
        <v>186</v>
      </c>
      <c r="J52" s="13" t="s">
        <v>187</v>
      </c>
      <c r="K52" s="14"/>
      <c r="L52" s="14"/>
      <c r="M52" s="14"/>
      <c r="N52" s="14"/>
      <c r="O52" s="14"/>
      <c r="P52" s="12" t="s">
        <v>188</v>
      </c>
    </row>
    <row r="53" customFormat="false" ht="15" hidden="false" customHeight="false" outlineLevel="0" collapsed="false">
      <c r="A53" s="12" t="s">
        <v>191</v>
      </c>
      <c r="B53" s="12" t="s">
        <v>192</v>
      </c>
      <c r="C53" s="12"/>
      <c r="D53" s="12"/>
      <c r="E53" s="12"/>
      <c r="F53" s="12" t="s">
        <v>114</v>
      </c>
      <c r="G53" s="12"/>
      <c r="H53" s="12" t="s">
        <v>185</v>
      </c>
      <c r="I53" s="12" t="s">
        <v>186</v>
      </c>
      <c r="J53" s="13" t="s">
        <v>187</v>
      </c>
      <c r="K53" s="14"/>
      <c r="L53" s="14"/>
      <c r="M53" s="14"/>
      <c r="N53" s="14"/>
      <c r="O53" s="14"/>
      <c r="P53" s="12" t="s">
        <v>188</v>
      </c>
    </row>
    <row r="54" customFormat="false" ht="15" hidden="false" customHeight="false" outlineLevel="0" collapsed="false">
      <c r="A54" s="12" t="s">
        <v>193</v>
      </c>
      <c r="B54" s="12" t="s">
        <v>194</v>
      </c>
      <c r="C54" s="12"/>
      <c r="D54" s="12"/>
      <c r="E54" s="12"/>
      <c r="F54" s="12" t="s">
        <v>114</v>
      </c>
      <c r="G54" s="12"/>
      <c r="H54" s="12" t="s">
        <v>185</v>
      </c>
      <c r="I54" s="12" t="s">
        <v>186</v>
      </c>
      <c r="J54" s="13" t="s">
        <v>187</v>
      </c>
      <c r="K54" s="14"/>
      <c r="L54" s="14"/>
      <c r="M54" s="14"/>
      <c r="N54" s="14"/>
      <c r="O54" s="14"/>
      <c r="P54" s="12" t="s">
        <v>188</v>
      </c>
    </row>
    <row r="55" customFormat="false" ht="15" hidden="false" customHeight="false" outlineLevel="0" collapsed="false">
      <c r="A55" s="12" t="s">
        <v>195</v>
      </c>
      <c r="B55" s="12" t="s">
        <v>196</v>
      </c>
      <c r="C55" s="12"/>
      <c r="D55" s="12"/>
      <c r="E55" s="12"/>
      <c r="F55" s="12" t="s">
        <v>114</v>
      </c>
      <c r="G55" s="12"/>
      <c r="H55" s="12" t="s">
        <v>185</v>
      </c>
      <c r="I55" s="12" t="s">
        <v>186</v>
      </c>
      <c r="J55" s="13" t="s">
        <v>187</v>
      </c>
      <c r="K55" s="14"/>
      <c r="L55" s="14"/>
      <c r="M55" s="14"/>
      <c r="N55" s="14"/>
      <c r="O55" s="14"/>
      <c r="P55" s="12" t="s">
        <v>188</v>
      </c>
    </row>
    <row r="56" customFormat="false" ht="15" hidden="false" customHeight="false" outlineLevel="0" collapsed="false">
      <c r="A56" s="12" t="s">
        <v>197</v>
      </c>
      <c r="B56" s="12" t="s">
        <v>198</v>
      </c>
      <c r="C56" s="12"/>
      <c r="D56" s="12"/>
      <c r="E56" s="12"/>
      <c r="F56" s="12" t="s">
        <v>114</v>
      </c>
      <c r="G56" s="12"/>
      <c r="H56" s="12" t="s">
        <v>185</v>
      </c>
      <c r="I56" s="12" t="s">
        <v>186</v>
      </c>
      <c r="J56" s="13" t="s">
        <v>187</v>
      </c>
      <c r="K56" s="14"/>
      <c r="L56" s="14"/>
      <c r="M56" s="14"/>
      <c r="N56" s="14"/>
      <c r="O56" s="14"/>
      <c r="P56" s="12" t="s">
        <v>188</v>
      </c>
    </row>
  </sheetData>
  <autoFilter ref="A1:P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2"/>
    <col collapsed="false" customWidth="true" hidden="false" outlineLevel="0" max="4" min="3" style="0" width="12"/>
    <col collapsed="false" customWidth="true" hidden="false" outlineLevel="0" max="5" min="5" style="0" width="16"/>
    <col collapsed="false" customWidth="true" hidden="false" outlineLevel="0" max="6" min="6" style="0" width="44"/>
    <col collapsed="false" customWidth="true" hidden="false" outlineLevel="0" max="7" min="7" style="0" width="60"/>
  </cols>
  <sheetData>
    <row r="1" customFormat="false" ht="27.75" hidden="false" customHeight="true" outlineLevel="0" collapsed="false">
      <c r="A1" s="11" t="s">
        <v>199</v>
      </c>
      <c r="B1" s="11" t="s">
        <v>200</v>
      </c>
      <c r="C1" s="11" t="s">
        <v>201</v>
      </c>
      <c r="D1" s="11" t="s">
        <v>202</v>
      </c>
      <c r="E1" s="11" t="s">
        <v>203</v>
      </c>
      <c r="F1" s="11" t="s">
        <v>204</v>
      </c>
      <c r="G1" s="11" t="s">
        <v>205</v>
      </c>
    </row>
    <row r="2" customFormat="false" ht="15" hidden="false" customHeight="false" outlineLevel="0" collapsed="false">
      <c r="A2" s="12" t="s">
        <v>206</v>
      </c>
      <c r="B2" s="12" t="s">
        <v>207</v>
      </c>
      <c r="C2" s="15" t="n">
        <v>196312</v>
      </c>
      <c r="D2" s="12" t="s">
        <v>208</v>
      </c>
      <c r="E2" s="12" t="s">
        <v>209</v>
      </c>
      <c r="F2" s="12" t="s">
        <v>210</v>
      </c>
      <c r="G2" s="12" t="s">
        <v>211</v>
      </c>
    </row>
    <row r="3" customFormat="false" ht="15" hidden="false" customHeight="false" outlineLevel="0" collapsed="false">
      <c r="A3" s="12" t="s">
        <v>212</v>
      </c>
      <c r="B3" s="12" t="s">
        <v>213</v>
      </c>
      <c r="C3" s="15" t="n">
        <v>223780</v>
      </c>
      <c r="D3" s="12" t="s">
        <v>208</v>
      </c>
      <c r="E3" s="12" t="s">
        <v>214</v>
      </c>
      <c r="F3" s="12" t="s">
        <v>215</v>
      </c>
      <c r="G3" s="12" t="s">
        <v>216</v>
      </c>
    </row>
    <row r="4" customFormat="false" ht="15" hidden="false" customHeight="false" outlineLevel="0" collapsed="false">
      <c r="A4" s="12" t="s">
        <v>217</v>
      </c>
      <c r="B4" s="12" t="s">
        <v>218</v>
      </c>
      <c r="C4" s="15" t="n">
        <v>231452</v>
      </c>
      <c r="D4" s="12" t="s">
        <v>208</v>
      </c>
      <c r="E4" s="12" t="s">
        <v>219</v>
      </c>
      <c r="F4" s="12" t="s">
        <v>215</v>
      </c>
      <c r="G4" s="12" t="s">
        <v>220</v>
      </c>
    </row>
    <row r="5" customFormat="false" ht="15" hidden="false" customHeight="false" outlineLevel="0" collapsed="false">
      <c r="A5" s="12" t="s">
        <v>221</v>
      </c>
      <c r="B5" s="12" t="s">
        <v>222</v>
      </c>
      <c r="C5" s="15" t="n">
        <v>88.9</v>
      </c>
      <c r="D5" s="12" t="s">
        <v>223</v>
      </c>
      <c r="E5" s="12" t="s">
        <v>224</v>
      </c>
      <c r="F5" s="12" t="s">
        <v>225</v>
      </c>
      <c r="G5" s="12" t="s">
        <v>226</v>
      </c>
    </row>
    <row r="6" customFormat="false" ht="15" hidden="false" customHeight="false" outlineLevel="0" collapsed="false">
      <c r="A6" s="12" t="s">
        <v>227</v>
      </c>
      <c r="B6" s="12" t="s">
        <v>228</v>
      </c>
      <c r="C6" s="15" t="n">
        <v>10</v>
      </c>
      <c r="D6" s="12" t="s">
        <v>223</v>
      </c>
      <c r="E6" s="12" t="s">
        <v>224</v>
      </c>
      <c r="F6" s="12" t="s">
        <v>225</v>
      </c>
      <c r="G6" s="12" t="s">
        <v>226</v>
      </c>
    </row>
    <row r="7" customFormat="false" ht="15" hidden="false" customHeight="false" outlineLevel="0" collapsed="false">
      <c r="A7" s="12" t="s">
        <v>229</v>
      </c>
      <c r="B7" s="12" t="s">
        <v>230</v>
      </c>
      <c r="C7" s="15" t="n">
        <v>17.3</v>
      </c>
      <c r="D7" s="12" t="s">
        <v>223</v>
      </c>
      <c r="E7" s="12" t="s">
        <v>224</v>
      </c>
      <c r="F7" s="12" t="s">
        <v>225</v>
      </c>
      <c r="G7" s="12" t="s">
        <v>226</v>
      </c>
    </row>
    <row r="8" customFormat="false" ht="15" hidden="false" customHeight="false" outlineLevel="0" collapsed="false">
      <c r="A8" s="12" t="s">
        <v>231</v>
      </c>
      <c r="B8" s="12" t="s">
        <v>232</v>
      </c>
      <c r="C8" s="15" t="n">
        <v>28.1</v>
      </c>
      <c r="D8" s="12" t="s">
        <v>223</v>
      </c>
      <c r="E8" s="12" t="s">
        <v>224</v>
      </c>
      <c r="F8" s="12" t="s">
        <v>225</v>
      </c>
      <c r="G8" s="12" t="s">
        <v>226</v>
      </c>
    </row>
    <row r="9" customFormat="false" ht="15" hidden="false" customHeight="false" outlineLevel="0" collapsed="false">
      <c r="A9" s="12" t="s">
        <v>233</v>
      </c>
      <c r="B9" s="12" t="s">
        <v>234</v>
      </c>
      <c r="C9" s="15" t="n">
        <v>54.5</v>
      </c>
      <c r="D9" s="12" t="s">
        <v>223</v>
      </c>
      <c r="E9" s="12" t="s">
        <v>224</v>
      </c>
      <c r="F9" s="12" t="s">
        <v>225</v>
      </c>
      <c r="G9" s="12" t="s">
        <v>226</v>
      </c>
    </row>
    <row r="10" customFormat="false" ht="15" hidden="false" customHeight="false" outlineLevel="0" collapsed="false">
      <c r="A10" s="12" t="s">
        <v>17</v>
      </c>
      <c r="B10" s="12" t="s">
        <v>235</v>
      </c>
      <c r="C10" s="15" t="n">
        <v>96.5</v>
      </c>
      <c r="D10" s="12" t="s">
        <v>223</v>
      </c>
      <c r="E10" s="12" t="s">
        <v>224</v>
      </c>
      <c r="F10" s="12" t="s">
        <v>225</v>
      </c>
      <c r="G10" s="12" t="s">
        <v>226</v>
      </c>
    </row>
    <row r="11" customFormat="false" ht="15" hidden="false" customHeight="false" outlineLevel="0" collapsed="false">
      <c r="A11" s="12" t="s">
        <v>236</v>
      </c>
      <c r="B11" s="12" t="s">
        <v>237</v>
      </c>
      <c r="C11" s="15" t="n">
        <v>97.1</v>
      </c>
      <c r="D11" s="12" t="s">
        <v>223</v>
      </c>
      <c r="E11" s="12" t="s">
        <v>238</v>
      </c>
      <c r="F11" s="12" t="s">
        <v>239</v>
      </c>
      <c r="G11" s="12" t="s">
        <v>226</v>
      </c>
    </row>
    <row r="12" customFormat="false" ht="15" hidden="false" customHeight="false" outlineLevel="0" collapsed="false">
      <c r="A12" s="12" t="s">
        <v>240</v>
      </c>
      <c r="B12" s="12" t="s">
        <v>241</v>
      </c>
      <c r="C12" s="15" t="n">
        <v>8</v>
      </c>
      <c r="D12" s="12" t="s">
        <v>208</v>
      </c>
      <c r="E12" s="12" t="s">
        <v>224</v>
      </c>
      <c r="F12" s="12" t="s">
        <v>225</v>
      </c>
      <c r="G12" s="12" t="s">
        <v>226</v>
      </c>
    </row>
    <row r="13" customFormat="false" ht="15" hidden="false" customHeight="false" outlineLevel="0" collapsed="false">
      <c r="A13" s="12" t="s">
        <v>242</v>
      </c>
      <c r="B13" s="12" t="s">
        <v>243</v>
      </c>
      <c r="C13" s="15" t="n">
        <v>97</v>
      </c>
      <c r="D13" s="12" t="s">
        <v>223</v>
      </c>
      <c r="E13" s="12" t="s">
        <v>238</v>
      </c>
      <c r="F13" s="12" t="s">
        <v>239</v>
      </c>
      <c r="G13" s="12" t="s">
        <v>226</v>
      </c>
    </row>
    <row r="14" customFormat="false" ht="15" hidden="false" customHeight="false" outlineLevel="0" collapsed="false">
      <c r="A14" s="12" t="s">
        <v>244</v>
      </c>
      <c r="B14" s="12" t="s">
        <v>245</v>
      </c>
      <c r="C14" s="15" t="n">
        <v>33.9</v>
      </c>
      <c r="D14" s="12" t="s">
        <v>223</v>
      </c>
      <c r="E14" s="12" t="s">
        <v>238</v>
      </c>
      <c r="F14" s="12" t="s">
        <v>239</v>
      </c>
      <c r="G14" s="12" t="s">
        <v>226</v>
      </c>
    </row>
    <row r="15" customFormat="false" ht="15" hidden="false" customHeight="false" outlineLevel="0" collapsed="false">
      <c r="A15" s="12" t="s">
        <v>246</v>
      </c>
      <c r="B15" s="12" t="s">
        <v>247</v>
      </c>
      <c r="C15" s="15" t="n">
        <v>40</v>
      </c>
      <c r="D15" s="12" t="s">
        <v>223</v>
      </c>
      <c r="E15" s="12" t="s">
        <v>214</v>
      </c>
      <c r="F15" s="12" t="s">
        <v>248</v>
      </c>
      <c r="G15" s="12" t="s">
        <v>142</v>
      </c>
    </row>
    <row r="16" customFormat="false" ht="15" hidden="false" customHeight="false" outlineLevel="0" collapsed="false">
      <c r="A16" s="12" t="s">
        <v>249</v>
      </c>
      <c r="B16" s="12" t="s">
        <v>250</v>
      </c>
      <c r="C16" s="15" t="n">
        <v>50</v>
      </c>
      <c r="D16" s="12" t="s">
        <v>223</v>
      </c>
      <c r="E16" s="12" t="s">
        <v>251</v>
      </c>
      <c r="F16" s="12" t="s">
        <v>248</v>
      </c>
      <c r="G16" s="12" t="s">
        <v>142</v>
      </c>
    </row>
    <row r="17" customFormat="false" ht="15" hidden="false" customHeight="false" outlineLevel="0" collapsed="false">
      <c r="A17" s="12" t="s">
        <v>252</v>
      </c>
      <c r="B17" s="12" t="s">
        <v>253</v>
      </c>
      <c r="C17" s="15" t="n">
        <v>98</v>
      </c>
      <c r="D17" s="12" t="s">
        <v>223</v>
      </c>
      <c r="E17" s="12" t="s">
        <v>254</v>
      </c>
      <c r="F17" s="12" t="s">
        <v>248</v>
      </c>
      <c r="G17" s="12" t="s">
        <v>142</v>
      </c>
    </row>
    <row r="18" customFormat="false" ht="15" hidden="false" customHeight="false" outlineLevel="0" collapsed="false">
      <c r="A18" s="12" t="s">
        <v>255</v>
      </c>
      <c r="B18" s="12" t="s">
        <v>256</v>
      </c>
      <c r="C18" s="15" t="n">
        <v>589</v>
      </c>
      <c r="D18" s="12" t="s">
        <v>257</v>
      </c>
      <c r="E18" s="12" t="s">
        <v>258</v>
      </c>
      <c r="F18" s="12" t="s">
        <v>259</v>
      </c>
      <c r="G18" s="12" t="s">
        <v>260</v>
      </c>
    </row>
    <row r="19" customFormat="false" ht="15" hidden="false" customHeight="false" outlineLevel="0" collapsed="false">
      <c r="A19" s="12" t="s">
        <v>261</v>
      </c>
      <c r="B19" s="12" t="s">
        <v>262</v>
      </c>
      <c r="C19" s="15" t="n">
        <v>310</v>
      </c>
      <c r="D19" s="12" t="s">
        <v>257</v>
      </c>
      <c r="E19" s="12" t="s">
        <v>263</v>
      </c>
      <c r="F19" s="12" t="s">
        <v>259</v>
      </c>
      <c r="G19" s="12" t="s">
        <v>260</v>
      </c>
    </row>
    <row r="20" customFormat="false" ht="15" hidden="false" customHeight="false" outlineLevel="0" collapsed="false">
      <c r="A20" s="12" t="s">
        <v>264</v>
      </c>
      <c r="B20" s="12" t="s">
        <v>265</v>
      </c>
      <c r="C20" s="15" t="n">
        <v>650</v>
      </c>
      <c r="D20" s="12" t="s">
        <v>257</v>
      </c>
      <c r="E20" s="12" t="s">
        <v>266</v>
      </c>
      <c r="F20" s="12" t="s">
        <v>248</v>
      </c>
      <c r="G20" s="12" t="s">
        <v>267</v>
      </c>
    </row>
    <row r="21" customFormat="false" ht="15" hidden="false" customHeight="false" outlineLevel="0" collapsed="false">
      <c r="A21" s="12" t="s">
        <v>268</v>
      </c>
      <c r="B21" s="12" t="s">
        <v>269</v>
      </c>
      <c r="C21" s="15" t="n">
        <v>323</v>
      </c>
      <c r="D21" s="12" t="s">
        <v>270</v>
      </c>
      <c r="E21" s="12" t="s">
        <v>263</v>
      </c>
      <c r="F21" s="12" t="s">
        <v>271</v>
      </c>
      <c r="G21" s="12" t="s">
        <v>260</v>
      </c>
    </row>
    <row r="22" customFormat="false" ht="15" hidden="false" customHeight="false" outlineLevel="0" collapsed="false">
      <c r="A22" s="12" t="s">
        <v>272</v>
      </c>
      <c r="B22" s="12" t="s">
        <v>273</v>
      </c>
      <c r="C22" s="15" t="n">
        <v>135</v>
      </c>
      <c r="D22" s="12" t="s">
        <v>270</v>
      </c>
      <c r="E22" s="12" t="s">
        <v>274</v>
      </c>
      <c r="F22" s="12" t="s">
        <v>259</v>
      </c>
      <c r="G22" s="12" t="s">
        <v>260</v>
      </c>
    </row>
    <row r="23" customFormat="false" ht="15" hidden="false" customHeight="false" outlineLevel="0" collapsed="false">
      <c r="A23" s="12" t="s">
        <v>275</v>
      </c>
      <c r="B23" s="12" t="s">
        <v>276</v>
      </c>
      <c r="C23" s="15" t="n">
        <v>61</v>
      </c>
      <c r="D23" s="12" t="s">
        <v>270</v>
      </c>
      <c r="E23" s="12" t="s">
        <v>274</v>
      </c>
      <c r="F23" s="12" t="s">
        <v>259</v>
      </c>
      <c r="G23" s="12" t="s">
        <v>260</v>
      </c>
    </row>
    <row r="24" customFormat="false" ht="15" hidden="false" customHeight="false" outlineLevel="0" collapsed="false">
      <c r="A24" s="12" t="s">
        <v>277</v>
      </c>
      <c r="B24" s="12" t="s">
        <v>278</v>
      </c>
      <c r="C24" s="15" t="n">
        <v>4838400</v>
      </c>
      <c r="D24" s="12" t="s">
        <v>279</v>
      </c>
      <c r="E24" s="12" t="s">
        <v>258</v>
      </c>
      <c r="F24" s="12" t="s">
        <v>259</v>
      </c>
      <c r="G24" s="12" t="s">
        <v>260</v>
      </c>
    </row>
    <row r="25" customFormat="false" ht="15" hidden="false" customHeight="false" outlineLevel="0" collapsed="false">
      <c r="A25" s="12" t="s">
        <v>280</v>
      </c>
      <c r="B25" s="12" t="s">
        <v>281</v>
      </c>
      <c r="C25" s="15" t="n">
        <v>82.5</v>
      </c>
      <c r="D25" s="12" t="s">
        <v>257</v>
      </c>
      <c r="E25" s="12" t="s">
        <v>214</v>
      </c>
      <c r="F25" s="12" t="s">
        <v>248</v>
      </c>
      <c r="G25" s="12" t="s">
        <v>142</v>
      </c>
    </row>
    <row r="26" customFormat="false" ht="15" hidden="false" customHeight="false" outlineLevel="0" collapsed="false">
      <c r="A26" s="12" t="s">
        <v>282</v>
      </c>
      <c r="B26" s="12" t="s">
        <v>283</v>
      </c>
      <c r="C26" s="15" t="n">
        <v>44000</v>
      </c>
      <c r="D26" s="12" t="s">
        <v>208</v>
      </c>
      <c r="E26" s="12" t="s">
        <v>214</v>
      </c>
      <c r="F26" s="12" t="s">
        <v>248</v>
      </c>
      <c r="G26" s="12" t="s">
        <v>142</v>
      </c>
    </row>
    <row r="27" customFormat="false" ht="15" hidden="false" customHeight="false" outlineLevel="0" collapsed="false">
      <c r="A27" s="12" t="s">
        <v>284</v>
      </c>
      <c r="B27" s="12" t="s">
        <v>285</v>
      </c>
      <c r="C27" s="15" t="n">
        <v>23000</v>
      </c>
      <c r="D27" s="12" t="s">
        <v>208</v>
      </c>
      <c r="E27" s="12" t="s">
        <v>251</v>
      </c>
      <c r="F27" s="12" t="s">
        <v>286</v>
      </c>
      <c r="G27" s="12" t="s">
        <v>287</v>
      </c>
    </row>
    <row r="28" customFormat="false" ht="15" hidden="false" customHeight="false" outlineLevel="0" collapsed="false">
      <c r="A28" s="12" t="s">
        <v>288</v>
      </c>
      <c r="B28" s="12" t="s">
        <v>289</v>
      </c>
      <c r="C28" s="15" t="n">
        <v>110000</v>
      </c>
      <c r="D28" s="12" t="s">
        <v>208</v>
      </c>
      <c r="E28" s="12" t="s">
        <v>251</v>
      </c>
      <c r="F28" s="12" t="s">
        <v>248</v>
      </c>
      <c r="G28" s="12" t="s">
        <v>267</v>
      </c>
    </row>
    <row r="29" customFormat="false" ht="15" hidden="false" customHeight="false" outlineLevel="0" collapsed="false">
      <c r="A29" s="12" t="s">
        <v>290</v>
      </c>
      <c r="B29" s="12" t="s">
        <v>291</v>
      </c>
      <c r="C29" s="15" t="n">
        <v>64</v>
      </c>
      <c r="D29" s="12" t="s">
        <v>257</v>
      </c>
      <c r="E29" s="12" t="s">
        <v>251</v>
      </c>
      <c r="F29" s="12" t="s">
        <v>248</v>
      </c>
      <c r="G29" s="12" t="s">
        <v>142</v>
      </c>
    </row>
  </sheetData>
  <autoFilter ref="A1:G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26"/>
    <col collapsed="false" customWidth="true" hidden="false" outlineLevel="0" max="4" min="4" style="0" width="82"/>
  </cols>
  <sheetData>
    <row r="1" customFormat="false" ht="27.75" hidden="false" customHeight="true" outlineLevel="0" collapsed="false">
      <c r="A1" s="11" t="s">
        <v>292</v>
      </c>
      <c r="B1" s="11" t="s">
        <v>293</v>
      </c>
      <c r="C1" s="11" t="s">
        <v>294</v>
      </c>
      <c r="D1" s="11" t="s">
        <v>295</v>
      </c>
    </row>
    <row r="2" customFormat="false" ht="15" hidden="false" customHeight="false" outlineLevel="0" collapsed="false">
      <c r="A2" s="12" t="s">
        <v>296</v>
      </c>
      <c r="B2" s="16" t="n">
        <f aca="false">INDEX(Indicadores!$C$2:$C$29,MATCH("pop_2026",Indicadores!$A$2:$A$29,0))/INDEX(Indicadores!$C$2:$C$29,MATCH("pop_2022",Indicadores!$A$2:$A$29,0))-1</f>
        <v>0.17900077427768</v>
      </c>
      <c r="C2" s="12" t="s">
        <v>223</v>
      </c>
      <c r="D2" s="12" t="s">
        <v>297</v>
      </c>
    </row>
    <row r="3" customFormat="false" ht="15" hidden="false" customHeight="false" outlineLevel="0" collapsed="false">
      <c r="A3" s="12" t="s">
        <v>298</v>
      </c>
      <c r="B3" s="17" t="n">
        <f aca="false">INDEX(Indicadores!$C$2:$C$29,MATCH("pop_2026",Indicadores!$A$2:$A$29,0))-INDEX(Indicadores!$C$2:$C$29,MATCH("pop_2025",Indicadores!$A$2:$A$29,0))</f>
        <v>7672</v>
      </c>
      <c r="C3" s="12" t="s">
        <v>208</v>
      </c>
      <c r="D3" s="12" t="s">
        <v>299</v>
      </c>
    </row>
    <row r="4" customFormat="false" ht="15" hidden="false" customHeight="false" outlineLevel="0" collapsed="false">
      <c r="A4" s="12" t="s">
        <v>300</v>
      </c>
      <c r="B4" s="18" t="n">
        <f aca="false">100-INDEX(Indicadores!$C$2:$C$29,MATCH("esgoto_rede_pct",Indicadores!$A$2:$A$29,0))-INDEX(Indicadores!$C$2:$C$29,MATCH("fossa_sep_pct",Indicadores!$A$2:$A$29,0))-INDEX(Indicadores!$C$2:$C$29,MATCH("fossa_rud_pct",Indicadores!$A$2:$A$29,0))</f>
        <v>0.100000000000001</v>
      </c>
      <c r="C4" s="12" t="s">
        <v>223</v>
      </c>
      <c r="D4" s="12" t="s">
        <v>301</v>
      </c>
    </row>
    <row r="5" customFormat="false" ht="15" hidden="false" customHeight="false" outlineLevel="0" collapsed="false">
      <c r="A5" s="12" t="s">
        <v>302</v>
      </c>
      <c r="B5" s="18" t="n">
        <f aca="false">INDEX(Indicadores!$C$2:$C$29,MATCH("meta_2032_pct",Indicadores!$A$2:$A$29,0))-INDEX(Indicadores!$C$2:$C$29,MATCH("esgoto_as_pct",Indicadores!$A$2:$A$29,0))</f>
        <v>58</v>
      </c>
      <c r="C5" s="12" t="s">
        <v>303</v>
      </c>
      <c r="D5" s="12" t="s">
        <v>304</v>
      </c>
    </row>
    <row r="6" customFormat="false" ht="15" hidden="false" customHeight="false" outlineLevel="0" collapsed="false">
      <c r="A6" s="12" t="s">
        <v>305</v>
      </c>
      <c r="B6" s="18" t="n">
        <f aca="false">INDEX(Indicadores!$C$2:$C$29,MATCH("meta_2026_pct",Indicadores!$A$2:$A$29,0))-INDEX(Indicadores!$C$2:$C$29,MATCH("esgoto_as_pct",Indicadores!$A$2:$A$29,0))</f>
        <v>10</v>
      </c>
      <c r="C6" s="12" t="s">
        <v>303</v>
      </c>
      <c r="D6" s="12" t="s">
        <v>306</v>
      </c>
    </row>
    <row r="7" customFormat="false" ht="15" hidden="false" customHeight="false" outlineLevel="0" collapsed="false">
      <c r="A7" s="12" t="s">
        <v>307</v>
      </c>
      <c r="B7" s="18" t="n">
        <f aca="false">B5/(B14-B13)</f>
        <v>8.28571428571429</v>
      </c>
      <c r="C7" s="12" t="s">
        <v>308</v>
      </c>
      <c r="D7" s="12" t="s">
        <v>309</v>
      </c>
    </row>
    <row r="8" customFormat="false" ht="15" hidden="false" customHeight="false" outlineLevel="0" collapsed="false">
      <c r="A8" s="12" t="s">
        <v>310</v>
      </c>
      <c r="B8" s="17" t="n">
        <f aca="false">INDEX(Indicadores!$C$2:$C$29,MATCH("pop_2025",Indicadores!$A$2:$A$29,0))*(1-INDEX(Indicadores!$C$2:$C$29,MATCH("esgoto_as_pct",Indicadores!$A$2:$A$29,0))/100)</f>
        <v>134268</v>
      </c>
      <c r="C8" s="12" t="s">
        <v>208</v>
      </c>
      <c r="D8" s="12" t="s">
        <v>311</v>
      </c>
    </row>
    <row r="9" customFormat="false" ht="15" hidden="false" customHeight="false" outlineLevel="0" collapsed="false">
      <c r="A9" s="12" t="s">
        <v>312</v>
      </c>
      <c r="B9" s="16" t="n">
        <f aca="false">INDEX(Indicadores!$C$2:$C$29,MATCH("rede_oper_km",Indicadores!$A$2:$A$29,0))/INDEX(Indicadores!$C$2:$C$29,MATCH("rede_km",Indicadores!$A$2:$A$29,0))</f>
        <v>0.526315789473684</v>
      </c>
      <c r="C9" s="12" t="s">
        <v>223</v>
      </c>
      <c r="D9" s="12" t="s">
        <v>313</v>
      </c>
    </row>
    <row r="10" customFormat="false" ht="15" hidden="false" customHeight="false" outlineLevel="0" collapsed="false">
      <c r="A10" s="12" t="s">
        <v>314</v>
      </c>
      <c r="B10" s="16" t="n">
        <f aca="false">INDEX(Indicadores!$C$2:$C$29,MATCH("bairros_rede",Indicadores!$A$2:$A$29,0))/INDEX(Indicadores!$C$2:$C$29,MATCH("bairros_total",Indicadores!$A$2:$A$29,0))</f>
        <v>0.417956656346749</v>
      </c>
      <c r="C10" s="12" t="s">
        <v>223</v>
      </c>
      <c r="D10" s="12" t="s">
        <v>315</v>
      </c>
    </row>
    <row r="11" customFormat="false" ht="15" hidden="false" customHeight="false" outlineLevel="0" collapsed="false">
      <c r="A11" s="12"/>
      <c r="B11" s="19"/>
      <c r="C11" s="12"/>
      <c r="D11" s="12"/>
    </row>
    <row r="12" customFormat="false" ht="15" hidden="false" customHeight="false" outlineLevel="0" collapsed="false">
      <c r="A12" s="20" t="s">
        <v>316</v>
      </c>
      <c r="B12" s="21"/>
      <c r="C12" s="20"/>
      <c r="D12" s="20"/>
    </row>
    <row r="13" customFormat="false" ht="15" hidden="false" customHeight="false" outlineLevel="0" collapsed="false">
      <c r="A13" s="12" t="s">
        <v>317</v>
      </c>
      <c r="B13" s="22" t="n">
        <v>2025</v>
      </c>
      <c r="C13" s="12" t="s">
        <v>318</v>
      </c>
      <c r="D13" s="12" t="s">
        <v>319</v>
      </c>
    </row>
    <row r="14" customFormat="false" ht="15" hidden="false" customHeight="false" outlineLevel="0" collapsed="false">
      <c r="A14" s="12" t="s">
        <v>320</v>
      </c>
      <c r="B14" s="22" t="n">
        <v>2032</v>
      </c>
      <c r="C14" s="12" t="s">
        <v>318</v>
      </c>
      <c r="D14" s="12"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4"/>
    <col collapsed="false" customWidth="true" hidden="false" outlineLevel="0" max="3" min="3" style="0" width="22"/>
    <col collapsed="false" customWidth="true" hidden="false" outlineLevel="0" max="4" min="4" style="0" width="110"/>
  </cols>
  <sheetData>
    <row r="1" customFormat="false" ht="27.75" hidden="false" customHeight="true" outlineLevel="0" collapsed="false">
      <c r="A1" s="11" t="s">
        <v>322</v>
      </c>
      <c r="B1" s="11" t="s">
        <v>323</v>
      </c>
      <c r="C1" s="11" t="s">
        <v>324</v>
      </c>
      <c r="D1" s="11" t="s">
        <v>325</v>
      </c>
    </row>
    <row r="2" customFormat="false" ht="15" hidden="false" customHeight="false" outlineLevel="0" collapsed="false">
      <c r="A2" s="12" t="s">
        <v>185</v>
      </c>
      <c r="B2" s="12" t="s">
        <v>186</v>
      </c>
      <c r="C2" s="12" t="s">
        <v>326</v>
      </c>
      <c r="D2" s="12" t="s">
        <v>187</v>
      </c>
    </row>
    <row r="3" customFormat="false" ht="15" hidden="false" customHeight="false" outlineLevel="0" collapsed="false">
      <c r="A3" s="12" t="s">
        <v>123</v>
      </c>
      <c r="B3" s="12" t="s">
        <v>124</v>
      </c>
      <c r="C3" s="12" t="s">
        <v>326</v>
      </c>
      <c r="D3" s="12" t="s">
        <v>125</v>
      </c>
    </row>
    <row r="4" customFormat="false" ht="15" hidden="false" customHeight="false" outlineLevel="0" collapsed="false">
      <c r="A4" s="12" t="s">
        <v>180</v>
      </c>
      <c r="B4" s="12" t="s">
        <v>181</v>
      </c>
      <c r="C4" s="12" t="s">
        <v>326</v>
      </c>
      <c r="D4" s="12" t="s">
        <v>182</v>
      </c>
    </row>
    <row r="5" customFormat="false" ht="15" hidden="false" customHeight="false" outlineLevel="0" collapsed="false">
      <c r="A5" s="12" t="s">
        <v>327</v>
      </c>
      <c r="B5" s="12" t="s">
        <v>328</v>
      </c>
      <c r="C5" s="12" t="s">
        <v>329</v>
      </c>
      <c r="D5" s="12" t="s">
        <v>287</v>
      </c>
    </row>
    <row r="6" customFormat="false" ht="15" hidden="false" customHeight="false" outlineLevel="0" collapsed="false">
      <c r="A6" s="12" t="s">
        <v>140</v>
      </c>
      <c r="B6" s="12" t="s">
        <v>141</v>
      </c>
      <c r="C6" s="12" t="s">
        <v>329</v>
      </c>
      <c r="D6" s="12" t="s">
        <v>142</v>
      </c>
    </row>
    <row r="7" customFormat="false" ht="15" hidden="false" customHeight="false" outlineLevel="0" collapsed="false">
      <c r="A7" s="12" t="s">
        <v>133</v>
      </c>
      <c r="B7" s="12" t="s">
        <v>134</v>
      </c>
      <c r="C7" s="12" t="s">
        <v>326</v>
      </c>
      <c r="D7" s="12" t="s">
        <v>135</v>
      </c>
    </row>
    <row r="8" customFormat="false" ht="15" hidden="false" customHeight="false" outlineLevel="0" collapsed="false">
      <c r="A8" s="12" t="s">
        <v>210</v>
      </c>
      <c r="B8" s="12" t="s">
        <v>209</v>
      </c>
      <c r="C8" s="12" t="s">
        <v>330</v>
      </c>
      <c r="D8" s="12" t="s">
        <v>211</v>
      </c>
    </row>
    <row r="9" customFormat="false" ht="15" hidden="false" customHeight="false" outlineLevel="0" collapsed="false">
      <c r="A9" s="12" t="s">
        <v>215</v>
      </c>
      <c r="B9" s="12" t="s">
        <v>214</v>
      </c>
      <c r="C9" s="12" t="s">
        <v>330</v>
      </c>
      <c r="D9" s="12" t="s">
        <v>216</v>
      </c>
    </row>
    <row r="10" customFormat="false" ht="15" hidden="false" customHeight="false" outlineLevel="0" collapsed="false">
      <c r="A10" s="12" t="s">
        <v>215</v>
      </c>
      <c r="B10" s="12" t="s">
        <v>219</v>
      </c>
      <c r="C10" s="12" t="s">
        <v>330</v>
      </c>
      <c r="D10" s="12" t="s">
        <v>220</v>
      </c>
    </row>
    <row r="11" customFormat="false" ht="15" hidden="false" customHeight="false" outlineLevel="0" collapsed="false">
      <c r="A11" s="12" t="s">
        <v>225</v>
      </c>
      <c r="B11" s="12" t="s">
        <v>224</v>
      </c>
      <c r="C11" s="12" t="s">
        <v>330</v>
      </c>
      <c r="D11" s="12" t="s">
        <v>226</v>
      </c>
    </row>
    <row r="12" customFormat="false" ht="15" hidden="false" customHeight="false" outlineLevel="0" collapsed="false">
      <c r="A12" s="12" t="s">
        <v>58</v>
      </c>
      <c r="B12" s="12" t="s">
        <v>59</v>
      </c>
      <c r="C12" s="12" t="s">
        <v>326</v>
      </c>
      <c r="D12" s="12" t="s">
        <v>60</v>
      </c>
    </row>
    <row r="13" customFormat="false" ht="15" hidden="false" customHeight="false" outlineLevel="0" collapsed="false">
      <c r="A13" s="12" t="s">
        <v>115</v>
      </c>
      <c r="B13" s="12" t="s">
        <v>116</v>
      </c>
      <c r="C13" s="12" t="s">
        <v>326</v>
      </c>
      <c r="D13" s="12" t="s">
        <v>117</v>
      </c>
    </row>
    <row r="14" customFormat="false" ht="15" hidden="false" customHeight="false" outlineLevel="0" collapsed="false">
      <c r="A14" s="12" t="s">
        <v>331</v>
      </c>
      <c r="B14" s="12" t="s">
        <v>332</v>
      </c>
      <c r="C14" s="12" t="s">
        <v>326</v>
      </c>
      <c r="D14" s="12" t="s">
        <v>333</v>
      </c>
    </row>
    <row r="15" customFormat="false" ht="15" hidden="false" customHeight="false" outlineLevel="0" collapsed="false">
      <c r="A15" s="12" t="s">
        <v>248</v>
      </c>
      <c r="B15" s="12" t="s">
        <v>266</v>
      </c>
      <c r="C15" s="12" t="s">
        <v>330</v>
      </c>
      <c r="D15" s="12" t="s">
        <v>267</v>
      </c>
    </row>
    <row r="16" customFormat="false" ht="15" hidden="false" customHeight="false" outlineLevel="0" collapsed="false">
      <c r="A16" s="12" t="s">
        <v>259</v>
      </c>
      <c r="B16" s="12" t="s">
        <v>258</v>
      </c>
      <c r="C16" s="12" t="s">
        <v>330</v>
      </c>
      <c r="D16" s="12"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2026-10-20T19:27:52Z</dcterms:created>
  <dc:creator>openpyxl</dc:creator>
  <dc:description/>
  <dc:language>en-US</dc:language>
  <cp:lastModifiedBy/>
  <dcterms:modified xsi:type="dcterms:W3CDTF">2026-10-20T19:27:52Z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